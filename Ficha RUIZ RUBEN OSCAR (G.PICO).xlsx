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464" documentId="13_ncr:1_{A036FF33-1B53-4D70-8EFD-D36DFABF8CDB}" xr6:coauthVersionLast="47" xr6:coauthVersionMax="47" xr10:uidLastSave="{0FDAC742-7BB5-4CD9-A34B-8D72B1531AED}"/>
  <bookViews>
    <workbookView xWindow="-108" yWindow="-108" windowWidth="23256" windowHeight="12456" xr2:uid="{00000000-000D-0000-FFFF-FFFF00000000}"/>
  </bookViews>
  <sheets>
    <sheet name="Ficha" sheetId="1" r:id="rId1"/>
    <sheet name="20 y 3 Tamb" sheetId="2" r:id="rId2"/>
    <sheet name="10 T" sheetId="3" r:id="rId3"/>
    <sheet name="1 T" sheetId="4" r:id="rId4"/>
    <sheet name="5T 202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4" i="1" l="1"/>
  <c r="G165" i="1" s="1"/>
  <c r="G166" i="1" s="1"/>
  <c r="G167" i="1" s="1"/>
  <c r="G168" i="1" s="1"/>
  <c r="G169" i="1" s="1"/>
  <c r="D139" i="1"/>
  <c r="D136" i="1"/>
  <c r="D135" i="1"/>
  <c r="D134" i="1"/>
  <c r="I146" i="1" l="1"/>
  <c r="I147" i="1" s="1"/>
  <c r="I148" i="1" s="1"/>
  <c r="I149" i="1" s="1"/>
  <c r="F147" i="1" l="1"/>
  <c r="F148" i="1" l="1"/>
  <c r="F138" i="1"/>
  <c r="F129" i="1"/>
  <c r="F121" i="1"/>
  <c r="F137" i="1"/>
  <c r="F123" i="1" l="1"/>
  <c r="G119" i="1"/>
  <c r="G120" i="1" s="1"/>
  <c r="G121" i="1" s="1"/>
  <c r="G122" i="1" s="1"/>
  <c r="F99" i="1"/>
  <c r="F112" i="1"/>
  <c r="F113" i="1"/>
  <c r="F115" i="1"/>
  <c r="F114" i="1"/>
  <c r="F111" i="1"/>
  <c r="F109" i="1"/>
  <c r="F110" i="1"/>
  <c r="F102" i="1"/>
  <c r="F103" i="1"/>
  <c r="G87" i="1"/>
  <c r="F108" i="1"/>
  <c r="F107" i="1"/>
  <c r="F106" i="1"/>
  <c r="F105" i="1"/>
  <c r="F104" i="1"/>
  <c r="F101" i="1"/>
  <c r="F100" i="1"/>
  <c r="F98" i="1"/>
  <c r="F97" i="1"/>
  <c r="F96" i="1"/>
  <c r="F93" i="1"/>
  <c r="F92" i="1"/>
  <c r="F91" i="1"/>
  <c r="F90" i="1"/>
  <c r="F89" i="1"/>
  <c r="F88" i="1"/>
  <c r="G79" i="1"/>
  <c r="G77" i="1"/>
  <c r="G76" i="1"/>
  <c r="G75" i="1"/>
  <c r="G58" i="1"/>
  <c r="G50" i="1"/>
  <c r="G72" i="1"/>
  <c r="G64" i="1"/>
  <c r="G62" i="1"/>
  <c r="M57" i="1"/>
  <c r="G52" i="1"/>
  <c r="M51" i="1"/>
  <c r="G49" i="1"/>
  <c r="G48" i="1"/>
  <c r="G47" i="1"/>
  <c r="M27" i="1"/>
  <c r="M26" i="1"/>
  <c r="N26" i="1" s="1"/>
  <c r="L26" i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I8" i="5"/>
  <c r="I7" i="5"/>
  <c r="I6" i="5"/>
  <c r="I5" i="5"/>
  <c r="I4" i="5"/>
  <c r="G54" i="1"/>
  <c r="G55" i="1"/>
  <c r="G56" i="1"/>
  <c r="G59" i="1"/>
  <c r="H31" i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G123" i="1" l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88" i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H47" i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N27" i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E28" i="1"/>
  <c r="I14" i="3"/>
  <c r="E30" i="2"/>
  <c r="D30" i="2"/>
  <c r="F29" i="2"/>
  <c r="F28" i="2"/>
  <c r="F27" i="2"/>
  <c r="E23" i="2"/>
  <c r="D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30" i="2" l="1"/>
  <c r="F23" i="2"/>
</calcChain>
</file>

<file path=xl/sharedStrings.xml><?xml version="1.0" encoding="utf-8"?>
<sst xmlns="http://schemas.openxmlformats.org/spreadsheetml/2006/main" count="574" uniqueCount="406">
  <si>
    <t>HR-39-4530</t>
  </si>
  <si>
    <t>RECIBE $121110 POR PAGO DE CERA OP 367KG OP X $330 PA-77-8573</t>
  </si>
  <si>
    <t>hr-47-9060</t>
  </si>
  <si>
    <t>1730-32-5747</t>
  </si>
  <si>
    <t>Entrega 10 tamb con miel</t>
  </si>
  <si>
    <t>PA-77-8573</t>
  </si>
  <si>
    <t>Entrega 637kg de Op</t>
  </si>
  <si>
    <t>PA-56-1789</t>
  </si>
  <si>
    <t>PA-51-0725</t>
  </si>
  <si>
    <t xml:space="preserve">Retira 7 cajas de cera 3/4 </t>
  </si>
  <si>
    <t>FACTURA 138 X  1800 KG</t>
  </si>
  <si>
    <t>FACTURA 139 X  5400 KG</t>
  </si>
  <si>
    <t>TOTAL FACTURADO 7200 KG</t>
  </si>
  <si>
    <t>TOTAL ENTREGADO 6887 KG</t>
  </si>
  <si>
    <t>DEBE                         313 KG</t>
  </si>
  <si>
    <t>FICHA</t>
  </si>
  <si>
    <t>RECIBE 7 CAJAS CERA ESTAMPADA 3/4</t>
  </si>
  <si>
    <t>RECIBE $ 15.000 P/COMPRA CERA</t>
  </si>
  <si>
    <t>Recibe pago por 2982kg x $210 ( entregó jacque)</t>
  </si>
  <si>
    <t>Hr-54-6523</t>
  </si>
  <si>
    <t>Recibe deposito por $200.000</t>
  </si>
  <si>
    <t>Gustavo</t>
  </si>
  <si>
    <t>MPA-21-0433</t>
  </si>
  <si>
    <t>Recibe USD 4350 por el pago de 3000 kgs de miel max 50 mm</t>
  </si>
  <si>
    <t>MPA</t>
  </si>
  <si>
    <t>Recibe deposito por $205.000(ceta)</t>
  </si>
  <si>
    <t>Recibe deposito por $300.000(ceta)</t>
  </si>
  <si>
    <t>RUIZ Ruben Oscar_9191    13/05</t>
  </si>
  <si>
    <t>ID</t>
  </si>
  <si>
    <t>LOTE</t>
  </si>
  <si>
    <t>Nº TAMBOR</t>
  </si>
  <si>
    <t>KG BRUTO</t>
  </si>
  <si>
    <t>TARA</t>
  </si>
  <si>
    <t>KG NETO</t>
  </si>
  <si>
    <t>COLOR</t>
  </si>
  <si>
    <t>HUMEDAD</t>
  </si>
  <si>
    <t>ANTIBIO.</t>
  </si>
  <si>
    <t>HMF</t>
  </si>
  <si>
    <t>EAN</t>
  </si>
  <si>
    <t>14-31301082-2</t>
  </si>
  <si>
    <t>18-08046134-4</t>
  </si>
  <si>
    <t>18-08708453-8</t>
  </si>
  <si>
    <t>18-08559055-1</t>
  </si>
  <si>
    <t>14-31565791-2</t>
  </si>
  <si>
    <t/>
  </si>
  <si>
    <t>18-08915731-1</t>
  </si>
  <si>
    <t>18-08056974-9</t>
  </si>
  <si>
    <t>18-08970214-1</t>
  </si>
  <si>
    <t>18-08402066-0</t>
  </si>
  <si>
    <t>18-08225257-2</t>
  </si>
  <si>
    <t>18-08287164-7</t>
  </si>
  <si>
    <t>18-08024807-1</t>
  </si>
  <si>
    <t>18-08118471-9</t>
  </si>
  <si>
    <t>18-08917802-5</t>
  </si>
  <si>
    <t>18-08093562-1</t>
  </si>
  <si>
    <t>18-08328660-8</t>
  </si>
  <si>
    <t>14-31153199-1</t>
  </si>
  <si>
    <t>18-08930142-0</t>
  </si>
  <si>
    <t>RUIZ Ruben Oscar_9216    14/06</t>
  </si>
  <si>
    <t>18-08924550-4</t>
  </si>
  <si>
    <t>18-08466061-9</t>
  </si>
  <si>
    <t>O. Compra : 10307 - 10323</t>
  </si>
  <si>
    <t>Fecha Ingreso: 11/12/2020</t>
  </si>
  <si>
    <t>Fecha Pesaje: 14/12/2020</t>
  </si>
  <si>
    <t>D</t>
  </si>
  <si>
    <t>#</t>
  </si>
  <si>
    <t>OC</t>
  </si>
  <si>
    <t>Apicultor</t>
  </si>
  <si>
    <t>Comprador</t>
  </si>
  <si>
    <t>ID Geomiel</t>
  </si>
  <si>
    <t>SENASA</t>
  </si>
  <si>
    <t>Bruto</t>
  </si>
  <si>
    <t>Tara</t>
  </si>
  <si>
    <t>Neto</t>
  </si>
  <si>
    <t>Peso Prod</t>
  </si>
  <si>
    <t>Color</t>
  </si>
  <si>
    <t>Hº</t>
  </si>
  <si>
    <t>Facturado S/N</t>
  </si>
  <si>
    <t>Ruiz Ruben</t>
  </si>
  <si>
    <t>Jacqueline</t>
  </si>
  <si>
    <t>15.8</t>
  </si>
  <si>
    <t>N - $ 210</t>
  </si>
  <si>
    <t>15.9</t>
  </si>
  <si>
    <t>F Blanca</t>
  </si>
  <si>
    <t>15.0</t>
  </si>
  <si>
    <t>Peso Apicul</t>
  </si>
  <si>
    <t>Ruiz Ruben O.</t>
  </si>
  <si>
    <t>Entrega 592kg de OP - Pagado a $180</t>
  </si>
  <si>
    <t>Flex 280</t>
  </si>
  <si>
    <t>2 CE STD - retiro Laceda Raul</t>
  </si>
  <si>
    <t>FA 3-138</t>
  </si>
  <si>
    <t>1800kg x $60</t>
  </si>
  <si>
    <t>FA 3-139</t>
  </si>
  <si>
    <t>5400kg x$65</t>
  </si>
  <si>
    <t>OC 9191</t>
  </si>
  <si>
    <t>OC 9216</t>
  </si>
  <si>
    <t>20 TCM - 6006kg en PA</t>
  </si>
  <si>
    <t>3 TCM - 881kg</t>
  </si>
  <si>
    <t>Entrega 1 Tamb con miel. 300kg</t>
  </si>
  <si>
    <t>Ruiz Ruben Oscar</t>
  </si>
  <si>
    <t>Fecha</t>
  </si>
  <si>
    <t>Remito</t>
  </si>
  <si>
    <t>Movimiento</t>
  </si>
  <si>
    <t>Entrega</t>
  </si>
  <si>
    <t>KG miel</t>
  </si>
  <si>
    <t>Saldo Miel</t>
  </si>
  <si>
    <t>PA-110</t>
  </si>
  <si>
    <t>PA-111-2904</t>
  </si>
  <si>
    <t>Recibe 609,000$ por 7 TCM</t>
  </si>
  <si>
    <t>PA-113-5303</t>
  </si>
  <si>
    <t>Flex 948</t>
  </si>
  <si>
    <t>Flex -927</t>
  </si>
  <si>
    <t>MPA-22-4166678</t>
  </si>
  <si>
    <t>Retira 15 TNR</t>
  </si>
  <si>
    <t>Hermano</t>
  </si>
  <si>
    <t>GP-61-0283</t>
  </si>
  <si>
    <t>PA-118-2780780</t>
  </si>
  <si>
    <t>Ruben Ruiz</t>
  </si>
  <si>
    <t>Flex 1018</t>
  </si>
  <si>
    <t>PA-122-3128</t>
  </si>
  <si>
    <t>PA-122-3127</t>
  </si>
  <si>
    <t>MPA-25-3240</t>
  </si>
  <si>
    <t>Recibe 2.000u$d por 484kg de OP</t>
  </si>
  <si>
    <t>Recibe $433.440 por 516 kg de OP</t>
  </si>
  <si>
    <t>Mariano</t>
  </si>
  <si>
    <t>Entrega 1001kg de OP</t>
  </si>
  <si>
    <t>Entrega 35 TCM - 10.411kg - color ok</t>
  </si>
  <si>
    <t xml:space="preserve">Retira 1 ahumador </t>
  </si>
  <si>
    <t>recibe $420.000 por 1500kg a</t>
  </si>
  <si>
    <t>1 careta c/cordon aguijon</t>
  </si>
  <si>
    <t>Retira 3 guatnes aguijon t13</t>
  </si>
  <si>
    <t xml:space="preserve">Retira 32 TN RALDAs </t>
  </si>
  <si>
    <t xml:space="preserve">Retire 16 TNR </t>
  </si>
  <si>
    <t xml:space="preserve">Retira 4 TRR </t>
  </si>
  <si>
    <t xml:space="preserve">Retira 26 TNR </t>
  </si>
  <si>
    <t xml:space="preserve">Retira 16 TN Raldas </t>
  </si>
  <si>
    <t>$ Miel</t>
  </si>
  <si>
    <t>$ Uni</t>
  </si>
  <si>
    <t>16*1</t>
  </si>
  <si>
    <t>15*1</t>
  </si>
  <si>
    <t>PA-128-7128</t>
  </si>
  <si>
    <t>Retira 200 Alzas Saligna 1º</t>
  </si>
  <si>
    <t>Retira 2000 cuadros STD</t>
  </si>
  <si>
    <t>PA-124-3089</t>
  </si>
  <si>
    <t>PA-133-8868</t>
  </si>
  <si>
    <t>Laceda R</t>
  </si>
  <si>
    <t>MPA-30-3546</t>
  </si>
  <si>
    <t>PA-138-2254</t>
  </si>
  <si>
    <t>Retira 20 cajas CE (10 Std + 10 3/4 Americ.)</t>
  </si>
  <si>
    <t>Tamb Vacios</t>
  </si>
  <si>
    <t>Fact/NN</t>
  </si>
  <si>
    <t>Insumo</t>
  </si>
  <si>
    <t>Ajuste color/kg</t>
  </si>
  <si>
    <t>OP/CE</t>
  </si>
  <si>
    <t>Lugar</t>
  </si>
  <si>
    <t>Deuda</t>
  </si>
  <si>
    <t>SI</t>
  </si>
  <si>
    <t>General Pico</t>
  </si>
  <si>
    <t>no</t>
  </si>
  <si>
    <t>PA-139-2439</t>
  </si>
  <si>
    <t xml:space="preserve">Retira 2 Bobinas Alambre </t>
  </si>
  <si>
    <t>MPA-32-5994</t>
  </si>
  <si>
    <t>Recibe efectivo $201.600 ( Transferencia de Ariel Melano)  Miel NN $300</t>
  </si>
  <si>
    <t>MPA-33-0519</t>
  </si>
  <si>
    <t>Recibe efectivo $300.000 a cuenta compra miel $300 NN max 50mm(Guadalupe)</t>
  </si>
  <si>
    <t>MPA-3-3602</t>
  </si>
  <si>
    <t>Recibe $57.000 por 1500kg a $35</t>
  </si>
  <si>
    <t>MPA-3-3609</t>
  </si>
  <si>
    <t>Recibe $33.300 por 3 TCM</t>
  </si>
  <si>
    <t>MPA-6-7259</t>
  </si>
  <si>
    <t>Recibe $106.560 por 592kg op a $180</t>
  </si>
  <si>
    <t>PA-145-0339</t>
  </si>
  <si>
    <t>Recibe efectivo $300.000 a cuenta compra miel (Guadalupe)</t>
  </si>
  <si>
    <t>Cocho</t>
  </si>
  <si>
    <t>MPA-34-9685</t>
  </si>
  <si>
    <t>Recibe efectivo $300.000 a cuenta compra miel</t>
  </si>
  <si>
    <t>PA-147-1247</t>
  </si>
  <si>
    <t>Retira 6 cajas CE Std</t>
  </si>
  <si>
    <t>MPA-34-6777</t>
  </si>
  <si>
    <t>mariano</t>
  </si>
  <si>
    <t>MPA-35-6782</t>
  </si>
  <si>
    <t>Guadalupe</t>
  </si>
  <si>
    <t>Recibe Adelanto u$d 3.000 a Cosecha  (TC $262)</t>
  </si>
  <si>
    <t>Recibe 1.500u$d (TC 293)</t>
  </si>
  <si>
    <t>PA-153-2659</t>
  </si>
  <si>
    <t>1</t>
  </si>
  <si>
    <t>RUIZ, RUBEN OSCAR</t>
  </si>
  <si>
    <t>116194749202</t>
  </si>
  <si>
    <t>304</t>
  </si>
  <si>
    <t>16</t>
  </si>
  <si>
    <t>2,0</t>
  </si>
  <si>
    <t>2</t>
  </si>
  <si>
    <t>198658767618</t>
  </si>
  <si>
    <t>308</t>
  </si>
  <si>
    <t>18</t>
  </si>
  <si>
    <t>3</t>
  </si>
  <si>
    <t>198669921610</t>
  </si>
  <si>
    <t>309</t>
  </si>
  <si>
    <t>4</t>
  </si>
  <si>
    <t>116128350818</t>
  </si>
  <si>
    <t>5</t>
  </si>
  <si>
    <t>116115065640</t>
  </si>
  <si>
    <t>317</t>
  </si>
  <si>
    <t>Entrega 5 TCM - mirar Hoja</t>
  </si>
  <si>
    <t>MPA-36 4326</t>
  </si>
  <si>
    <t>Recibe efectivo $503220 por el pago de 5 Tambores con miel ($432900 + $70320)</t>
  </si>
  <si>
    <t>PA-155-4323</t>
  </si>
  <si>
    <t>Retira 3 p Guantes Aguijon t12</t>
  </si>
  <si>
    <t>PA-156-4270</t>
  </si>
  <si>
    <t>PA-159-7911</t>
  </si>
  <si>
    <t>Recibe $ 850.000</t>
  </si>
  <si>
    <t>Entrega 6 TCM - 1987kg Miel- color 71mm</t>
  </si>
  <si>
    <t>PA-161-8115</t>
  </si>
  <si>
    <t>Retira 42 TR Cosde</t>
  </si>
  <si>
    <t>PA-161-8122</t>
  </si>
  <si>
    <t>Entrega 34 TCM</t>
  </si>
  <si>
    <t>Retira 2 TR Cosde</t>
  </si>
  <si>
    <t>FA 3-239</t>
  </si>
  <si>
    <t>6000kg a $450</t>
  </si>
  <si>
    <t>Menor 50mm 1231 kg</t>
  </si>
  <si>
    <t>PA-160-8136</t>
  </si>
  <si>
    <t>Retira 42 TROmbu</t>
  </si>
  <si>
    <t>FA 3-242</t>
  </si>
  <si>
    <t>4500kg a $480</t>
  </si>
  <si>
    <t>Mayor 50mm  1319kg</t>
  </si>
  <si>
    <t>Miel 50 mm</t>
  </si>
  <si>
    <t>Miel + 50mm</t>
  </si>
  <si>
    <t>Opercul</t>
  </si>
  <si>
    <t>Kg OP</t>
  </si>
  <si>
    <t>Saldo Op</t>
  </si>
  <si>
    <t>14*1</t>
  </si>
  <si>
    <t xml:space="preserve">Retira 7 Bobinas Alambre </t>
  </si>
  <si>
    <t>Entrega 6 TCM-1732kg color ok</t>
  </si>
  <si>
    <t>PA-171-3434</t>
  </si>
  <si>
    <t>Retira 20 TR</t>
  </si>
  <si>
    <t>Dacenzo F</t>
  </si>
  <si>
    <t>PA-172-3272</t>
  </si>
  <si>
    <t>Retira 2 p Guantes Cuero talle 13</t>
  </si>
  <si>
    <t>PA-174-2179</t>
  </si>
  <si>
    <t>Recibe $ 150.000</t>
  </si>
  <si>
    <t>PA-174-2194</t>
  </si>
  <si>
    <t>PA-175-3299</t>
  </si>
  <si>
    <t>Retira 3 TRO</t>
  </si>
  <si>
    <t>FA 3-244</t>
  </si>
  <si>
    <t>6000kg a $470</t>
  </si>
  <si>
    <t>PA-177-3432</t>
  </si>
  <si>
    <t>Entrega 443kg Op</t>
  </si>
  <si>
    <t>PA-180-8707</t>
  </si>
  <si>
    <t>MPA-39-2172</t>
  </si>
  <si>
    <t>PA-182-8913</t>
  </si>
  <si>
    <t>Entrega 35 TCM (10091kg color -50mm 297kg=54mm)</t>
  </si>
  <si>
    <t>PA-183-1556</t>
  </si>
  <si>
    <t>MPA-40-6056</t>
  </si>
  <si>
    <t>Recibe $ 100.000*</t>
  </si>
  <si>
    <t>Recibe $ 300.000*</t>
  </si>
  <si>
    <t>Recibe $ 200.000*</t>
  </si>
  <si>
    <t>PA-183-1565</t>
  </si>
  <si>
    <t>PA-184-1530</t>
  </si>
  <si>
    <t>PA-184-1546</t>
  </si>
  <si>
    <t>Ruiz Gustavo</t>
  </si>
  <si>
    <t>PA-185-8727</t>
  </si>
  <si>
    <t>FA 3-248</t>
  </si>
  <si>
    <t>1792kg a $510(LTF 3046kg a $300)</t>
  </si>
  <si>
    <t>FA 3-249</t>
  </si>
  <si>
    <t>Entrega 6 TCM-1792kg color -40mm</t>
  </si>
  <si>
    <t>Enterga 32 TCM - (3564kg -50mm)  (6097kg +50mm )</t>
  </si>
  <si>
    <t>Adelanto 170kg Cera a $850=$144.500 + 21%iva*</t>
  </si>
  <si>
    <t>Adelanto 705kg Cera a $850= $600.000 + 21%IVA*</t>
  </si>
  <si>
    <t>Ajuste 9700kg a $300/$480</t>
  </si>
  <si>
    <t>Calculo 13-7-23</t>
  </si>
  <si>
    <t>Menor 50mm  7741kg</t>
  </si>
  <si>
    <t>PA-186-6060</t>
  </si>
  <si>
    <t>Retira 100 Pisos Calden - A Cuenta</t>
  </si>
  <si>
    <t>FA 3-251</t>
  </si>
  <si>
    <t>Adelanto 706kg Cera a $850= $600.000 + 21%IVA*</t>
  </si>
  <si>
    <t>FA 3-253</t>
  </si>
  <si>
    <t>Adelanto 1176kg cera a $850=$1.000.000 + 21% iva*</t>
  </si>
  <si>
    <t>PA-189-6249</t>
  </si>
  <si>
    <t>FA 3-255</t>
  </si>
  <si>
    <t>Adelanto $1.500.000 + 21% iva (LTF)*</t>
  </si>
  <si>
    <t>FA 3-256</t>
  </si>
  <si>
    <t>FA 3-259</t>
  </si>
  <si>
    <t>Adelanto  $1,500,000 + 10,5%iva (Agrosizigia SA)</t>
  </si>
  <si>
    <t>Debe 3882kg miel - 50mm</t>
  </si>
  <si>
    <t>FA 3-260</t>
  </si>
  <si>
    <t>Adelanto $1.000.000 + 10,5%Iva (LTF)*</t>
  </si>
  <si>
    <t>PA-197-3222</t>
  </si>
  <si>
    <t>Recibe  $500,000</t>
  </si>
  <si>
    <t>Recibe 40 TR Cosde</t>
  </si>
  <si>
    <t>PA-198-8728</t>
  </si>
  <si>
    <t>Entrega 20 TCM 5933kg 62mm</t>
  </si>
  <si>
    <t>FA 3-263</t>
  </si>
  <si>
    <t>3000kg a $1000 (Miel - 50mm) Geomiel (Miel +50mm $800)</t>
  </si>
  <si>
    <t>PA-198-8734</t>
  </si>
  <si>
    <t>Retira 25 TR Cosde</t>
  </si>
  <si>
    <t>PA-203-8879</t>
  </si>
  <si>
    <t>Retira 20 TR Raldas</t>
  </si>
  <si>
    <t>$miel</t>
  </si>
  <si>
    <t>Kg Miel</t>
  </si>
  <si>
    <t>Saldo</t>
  </si>
  <si>
    <t>Retira  294kg Glucosa</t>
  </si>
  <si>
    <t>Retira 1 TR  (glucosa)</t>
  </si>
  <si>
    <t>Entrega 20 TCM 5814kg 65-67mm</t>
  </si>
  <si>
    <t>10*1</t>
  </si>
  <si>
    <t>$800/$1000</t>
  </si>
  <si>
    <t>Retira 1 careta cordon apidan</t>
  </si>
  <si>
    <t>Retira 1 sombrero paja azul</t>
  </si>
  <si>
    <t>Deuda 19801kg miel - 50mm</t>
  </si>
  <si>
    <t>PA-203-8881</t>
  </si>
  <si>
    <t>FA 3-270</t>
  </si>
  <si>
    <t>4500kg a $1650 (Geomiel 6346kg a $1170)</t>
  </si>
  <si>
    <t>FA 3-271</t>
  </si>
  <si>
    <t>1500kg a $1700</t>
  </si>
  <si>
    <t>PA-204-8541</t>
  </si>
  <si>
    <t>PA-203-8888</t>
  </si>
  <si>
    <t>Retira 50 TR (descargados en acoplado sabado)</t>
  </si>
  <si>
    <t>pa-205-9692</t>
  </si>
  <si>
    <t>PA-210-0028</t>
  </si>
  <si>
    <t>Entrega 728kg Operculo</t>
  </si>
  <si>
    <t>FA 3-273</t>
  </si>
  <si>
    <t>3000kg a $1750</t>
  </si>
  <si>
    <t>PA-211-0012</t>
  </si>
  <si>
    <t>Recibe 17 TR Cosde</t>
  </si>
  <si>
    <t>FA 3-276</t>
  </si>
  <si>
    <t>728kg OP a $5400</t>
  </si>
  <si>
    <t>2400kg a $1700</t>
  </si>
  <si>
    <t>FA 3-278</t>
  </si>
  <si>
    <t>FA 3-277</t>
  </si>
  <si>
    <t>1800kg a $1700</t>
  </si>
  <si>
    <t>FA 2-279</t>
  </si>
  <si>
    <t>1200kg a $1700</t>
  </si>
  <si>
    <t>FA 3-280</t>
  </si>
  <si>
    <t>10*1 fact</t>
  </si>
  <si>
    <t>PA-222-0081</t>
  </si>
  <si>
    <t>Recibe 1500usd - a devolver 1800usd (un20%mas en billete)</t>
  </si>
  <si>
    <t>PA-224-132</t>
  </si>
  <si>
    <t>Recibe 3,000usd - a devolver 3600usd (un 20%mas en billete)</t>
  </si>
  <si>
    <t>PA-226-202</t>
  </si>
  <si>
    <t>1725-32-167</t>
  </si>
  <si>
    <t>Recibe 100 TRR</t>
  </si>
  <si>
    <t>MPA-44-6141</t>
  </si>
  <si>
    <t>Recibe U$D10,000 a devolver U$D10.500(un 5% mas en billete)</t>
  </si>
  <si>
    <t>Recibe 10 TR Cosde</t>
  </si>
  <si>
    <t>2100kg a $1700 (-50mm)</t>
  </si>
  <si>
    <t>FA 3-298</t>
  </si>
  <si>
    <t>5000 kg de miel x $2000(OC173 WENSTRADE)</t>
  </si>
  <si>
    <t>PA-240-1005</t>
  </si>
  <si>
    <t>Entrega 15 TCM (5033 KG)</t>
  </si>
  <si>
    <t>PA-240-1007</t>
  </si>
  <si>
    <t>PA-241-1054</t>
  </si>
  <si>
    <t>Recibe 18 TNA</t>
  </si>
  <si>
    <t>FA 3-299</t>
  </si>
  <si>
    <t>4950 kg a $2000 (OC 264 Wenstrade)</t>
  </si>
  <si>
    <t>FA 2-300</t>
  </si>
  <si>
    <t>5000 kg a $ 2000 (OC 305 Wenstrade)</t>
  </si>
  <si>
    <t>HOS067-6-609</t>
  </si>
  <si>
    <t>Recibe 25 TRR</t>
  </si>
  <si>
    <t>Entrega 15 TCM</t>
  </si>
  <si>
    <t>HOS067-6-610</t>
  </si>
  <si>
    <t>FA 3-301</t>
  </si>
  <si>
    <t>5000 kg a $ 2000 (OC 358 Wenstrade)</t>
  </si>
  <si>
    <t>PA-243-154</t>
  </si>
  <si>
    <t>HOS067-6-611</t>
  </si>
  <si>
    <t>Raul Laceda</t>
  </si>
  <si>
    <t>Recibe cheque BLP # 65103758 por $ 574 819,67 pesos por pago parcial anticipo de venta de 3TCM</t>
  </si>
  <si>
    <t>Recibe $ 450 USD TCP: 1220 ($ 549 000) por pago parcial anticipo de venta de 3TCM</t>
  </si>
  <si>
    <t>Recibe $ 10 181 pesos en efectivo por pago parcial anticipo de venta de 3TCM</t>
  </si>
  <si>
    <t>PA-243-160</t>
  </si>
  <si>
    <t xml:space="preserve">Recibe Transferencia por $306.000 pesos de Leo Ponzio </t>
  </si>
  <si>
    <t>Entrega 3 TCM(NN) a $ 1600 (900 kg +50mm)</t>
  </si>
  <si>
    <t>Entrega 47 TCM (7213 kg hasta 53mm)(6876 kg +53)</t>
  </si>
  <si>
    <t xml:space="preserve">Entrega 15 TCM  </t>
  </si>
  <si>
    <t>Entrega 35 TCM -  8911kg -50mm//1493kg +50mm</t>
  </si>
  <si>
    <t>12*1 Fact</t>
  </si>
  <si>
    <t>HOS067- 6-613</t>
  </si>
  <si>
    <t>FA 3-306</t>
  </si>
  <si>
    <t>600 KG a $2000 (OC70 Geomiel)</t>
  </si>
  <si>
    <t>1725-39-187</t>
  </si>
  <si>
    <t>Entrega 10 TCM  (605 kg -50mm, 2405 kg +50mm)</t>
  </si>
  <si>
    <t>2400 KG a $1750 (OC70 Geomiel)</t>
  </si>
  <si>
    <t>10*1 Fact</t>
  </si>
  <si>
    <t>FC 2-3 Marconato</t>
  </si>
  <si>
    <t>5038 KG A $2050 (OC149 Geomiel)</t>
  </si>
  <si>
    <t>2861 KG A $1800 (OC149 Geomiel)</t>
  </si>
  <si>
    <t>Entrega 24 TCM (Marconato Nicolas)(5038 kg -50mm, 2861 kg +50mm)</t>
  </si>
  <si>
    <t xml:space="preserve">Entrega 15 TCM </t>
  </si>
  <si>
    <t>Entrega 2 TCM (614 kg +50mm)</t>
  </si>
  <si>
    <t>PI 006- 2325</t>
  </si>
  <si>
    <t>Entrega 40 TCM  (13283 kgs)</t>
  </si>
  <si>
    <t>FA 03-348</t>
  </si>
  <si>
    <t>1650 KG A $3000 (oc 485 Geomiel)</t>
  </si>
  <si>
    <t>FA 03-352</t>
  </si>
  <si>
    <t>PI 008- 2595</t>
  </si>
  <si>
    <t>Entrega 16 TCM  (5382 kgs)</t>
  </si>
  <si>
    <t>FA 03-354</t>
  </si>
  <si>
    <t>2047 kgs a $3050 (OC602 Geomiel)</t>
  </si>
  <si>
    <t>1600 KG A  $3050 (OC 453 WENSTRADE )</t>
  </si>
  <si>
    <t>FA 003-0357</t>
  </si>
  <si>
    <t>13897 ka a $ 3100 ( OC 633 Geomiel)</t>
  </si>
  <si>
    <t>FA 003-0356</t>
  </si>
  <si>
    <t>1650 kg a $ 3000 (OC 632 Geomiel)</t>
  </si>
  <si>
    <t>Recibe $8,000.000 a Reembolsar</t>
  </si>
  <si>
    <t>Compras 3-2696</t>
  </si>
  <si>
    <t>Entrega $12.000.000,00 a Paredes Gustavo en Galpon Ruiz</t>
  </si>
  <si>
    <t>Compras 4-2917</t>
  </si>
  <si>
    <t xml:space="preserve">Entrega $10.000.000,00 en Parque Industrial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</si>
</sst>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\ #,##0.00"/>
  </numFmts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164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right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3" borderId="2" xfId="0" applyNumberFormat="1" applyFill="1" applyBorder="1"/>
    <xf numFmtId="0" fontId="0" fillId="0" borderId="2" xfId="0" applyBorder="1"/>
    <xf numFmtId="0" fontId="5" fillId="0" borderId="2" xfId="0" applyFont="1" applyBorder="1"/>
    <xf numFmtId="1" fontId="0" fillId="3" borderId="2" xfId="0" applyNumberFormat="1" applyFill="1" applyBorder="1" applyAlignment="1">
      <alignment horizontal="right"/>
    </xf>
    <xf numFmtId="0" fontId="0" fillId="3" borderId="2" xfId="0" applyFill="1" applyBorder="1"/>
    <xf numFmtId="0" fontId="0" fillId="0" borderId="9" xfId="0" applyBorder="1" applyAlignment="1">
      <alignment horizontal="center"/>
    </xf>
    <xf numFmtId="0" fontId="5" fillId="0" borderId="9" xfId="0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3" borderId="9" xfId="0" applyNumberFormat="1" applyFill="1" applyBorder="1"/>
    <xf numFmtId="0" fontId="0" fillId="0" borderId="9" xfId="0" applyBorder="1"/>
    <xf numFmtId="0" fontId="5" fillId="0" borderId="9" xfId="0" applyFont="1" applyBorder="1"/>
    <xf numFmtId="0" fontId="0" fillId="0" borderId="4" xfId="0" applyBorder="1"/>
    <xf numFmtId="0" fontId="0" fillId="0" borderId="4" xfId="0" applyBorder="1" applyAlignment="1">
      <alignment horizontal="right"/>
    </xf>
    <xf numFmtId="1" fontId="0" fillId="0" borderId="0" xfId="0" applyNumberFormat="1"/>
    <xf numFmtId="14" fontId="0" fillId="2" borderId="10" xfId="0" applyNumberFormat="1" applyFill="1" applyBorder="1"/>
    <xf numFmtId="14" fontId="0" fillId="2" borderId="13" xfId="0" applyNumberFormat="1" applyFill="1" applyBorder="1"/>
    <xf numFmtId="0" fontId="0" fillId="4" borderId="0" xfId="0" applyFill="1"/>
    <xf numFmtId="14" fontId="0" fillId="2" borderId="18" xfId="0" applyNumberFormat="1" applyFill="1" applyBorder="1"/>
    <xf numFmtId="0" fontId="0" fillId="2" borderId="0" xfId="0" applyFill="1"/>
    <xf numFmtId="0" fontId="2" fillId="0" borderId="0" xfId="0" applyFont="1"/>
    <xf numFmtId="0" fontId="2" fillId="5" borderId="16" xfId="0" applyFont="1" applyFill="1" applyBorder="1"/>
    <xf numFmtId="0" fontId="2" fillId="5" borderId="17" xfId="0" applyFont="1" applyFill="1" applyBorder="1"/>
    <xf numFmtId="0" fontId="6" fillId="3" borderId="0" xfId="0" applyFont="1" applyFill="1"/>
    <xf numFmtId="0" fontId="0" fillId="0" borderId="0" xfId="0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4" fontId="0" fillId="3" borderId="0" xfId="0" applyNumberFormat="1" applyFill="1"/>
    <xf numFmtId="0" fontId="2" fillId="5" borderId="23" xfId="0" applyFont="1" applyFill="1" applyBorder="1" applyAlignment="1">
      <alignment horizontal="center" vertical="center"/>
    </xf>
    <xf numFmtId="49" fontId="0" fillId="0" borderId="0" xfId="0" applyNumberFormat="1"/>
    <xf numFmtId="49" fontId="0" fillId="0" borderId="2" xfId="0" applyNumberFormat="1" applyBorder="1"/>
    <xf numFmtId="2" fontId="0" fillId="0" borderId="2" xfId="0" applyNumberFormat="1" applyBorder="1"/>
    <xf numFmtId="49" fontId="5" fillId="0" borderId="4" xfId="0" applyNumberFormat="1" applyFont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5" borderId="26" xfId="0" applyFont="1" applyFill="1" applyBorder="1"/>
    <xf numFmtId="1" fontId="2" fillId="5" borderId="17" xfId="0" applyNumberFormat="1" applyFont="1" applyFill="1" applyBorder="1" applyAlignment="1">
      <alignment horizontal="center"/>
    </xf>
    <xf numFmtId="0" fontId="0" fillId="0" borderId="27" xfId="0" applyBorder="1"/>
    <xf numFmtId="0" fontId="2" fillId="5" borderId="28" xfId="0" applyFont="1" applyFill="1" applyBorder="1"/>
    <xf numFmtId="1" fontId="2" fillId="5" borderId="29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2" fillId="5" borderId="28" xfId="0" applyFont="1" applyFill="1" applyBorder="1" applyAlignment="1">
      <alignment horizontal="center" vertical="center"/>
    </xf>
    <xf numFmtId="1" fontId="2" fillId="5" borderId="26" xfId="0" applyNumberFormat="1" applyFont="1" applyFill="1" applyBorder="1" applyAlignment="1">
      <alignment horizontal="center"/>
    </xf>
    <xf numFmtId="0" fontId="1" fillId="0" borderId="27" xfId="0" applyFont="1" applyBorder="1"/>
    <xf numFmtId="0" fontId="0" fillId="0" borderId="27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4" borderId="27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/>
    </xf>
    <xf numFmtId="0" fontId="2" fillId="0" borderId="27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0" fillId="2" borderId="27" xfId="0" applyFill="1" applyBorder="1" applyAlignment="1">
      <alignment horizontal="center" vertical="center"/>
    </xf>
    <xf numFmtId="0" fontId="2" fillId="0" borderId="25" xfId="0" applyFont="1" applyBorder="1"/>
    <xf numFmtId="1" fontId="0" fillId="2" borderId="0" xfId="0" applyNumberFormat="1" applyFill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25" xfId="0" applyFont="1" applyFill="1" applyBorder="1"/>
    <xf numFmtId="1" fontId="2" fillId="5" borderId="2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27" xfId="0" applyFill="1" applyBorder="1"/>
    <xf numFmtId="165" fontId="0" fillId="2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4" borderId="0" xfId="0" applyNumberFormat="1" applyFill="1"/>
    <xf numFmtId="165" fontId="0" fillId="4" borderId="0" xfId="0" applyNumberFormat="1" applyFill="1" applyAlignment="1">
      <alignment horizontal="center" vertical="center"/>
    </xf>
    <xf numFmtId="1" fontId="1" fillId="4" borderId="0" xfId="0" applyNumberFormat="1" applyFont="1" applyFill="1" applyAlignment="1">
      <alignment horizontal="center"/>
    </xf>
    <xf numFmtId="0" fontId="0" fillId="4" borderId="27" xfId="0" applyFill="1" applyBorder="1"/>
    <xf numFmtId="0" fontId="2" fillId="4" borderId="25" xfId="0" applyFont="1" applyFill="1" applyBorder="1"/>
    <xf numFmtId="165" fontId="0" fillId="0" borderId="27" xfId="0" applyNumberFormat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12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2" fillId="2" borderId="14" xfId="0" applyFont="1" applyFill="1" applyBorder="1" applyAlignment="1">
      <alignment wrapText="1"/>
    </xf>
    <xf numFmtId="0" fontId="0" fillId="2" borderId="19" xfId="0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0" fillId="4" borderId="0" xfId="0" applyFill="1" applyAlignment="1">
      <alignment wrapText="1"/>
    </xf>
    <xf numFmtId="0" fontId="2" fillId="5" borderId="17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2" borderId="14" xfId="0" applyFill="1" applyBorder="1" applyAlignment="1">
      <alignment wrapText="1"/>
    </xf>
    <xf numFmtId="0" fontId="2" fillId="4" borderId="0" xfId="0" applyFont="1" applyFill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/>
    </xf>
    <xf numFmtId="165" fontId="0" fillId="4" borderId="27" xfId="0" applyNumberFormat="1" applyFill="1" applyBorder="1" applyAlignment="1">
      <alignment horizontal="center" vertical="center"/>
    </xf>
    <xf numFmtId="1" fontId="2" fillId="4" borderId="0" xfId="0" applyNumberFormat="1" applyFont="1" applyFill="1" applyAlignment="1">
      <alignment horizontal="center"/>
    </xf>
    <xf numFmtId="0" fontId="2" fillId="2" borderId="15" xfId="0" applyFont="1" applyFill="1" applyBorder="1" applyAlignment="1">
      <alignment wrapText="1"/>
    </xf>
    <xf numFmtId="165" fontId="0" fillId="3" borderId="27" xfId="0" applyNumberFormat="1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wrapText="1"/>
    </xf>
    <xf numFmtId="165" fontId="9" fillId="0" borderId="27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0" fontId="9" fillId="0" borderId="27" xfId="0" applyFont="1" applyBorder="1"/>
    <xf numFmtId="0" fontId="10" fillId="0" borderId="25" xfId="0" applyFont="1" applyBorder="1"/>
    <xf numFmtId="14" fontId="0" fillId="2" borderId="0" xfId="0" applyNumberFormat="1" applyFill="1"/>
    <xf numFmtId="0" fontId="8" fillId="2" borderId="13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2" fillId="2" borderId="19" xfId="0" applyFont="1" applyFill="1" applyBorder="1" applyAlignment="1">
      <alignment wrapText="1"/>
    </xf>
    <xf numFmtId="14" fontId="7" fillId="2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2" borderId="11" xfId="0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14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6" fillId="3" borderId="0" xfId="0" applyFont="1" applyFill="1" applyAlignment="1">
      <alignment horizontal="left"/>
    </xf>
    <xf numFmtId="0" fontId="2" fillId="5" borderId="17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2" fillId="2" borderId="14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2" fillId="2" borderId="10" xfId="0" applyFont="1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165" fontId="2" fillId="5" borderId="29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0" fillId="0" borderId="11" xfId="0" applyNumberFormat="1" applyBorder="1"/>
    <xf numFmtId="165" fontId="0" fillId="0" borderId="14" xfId="0" applyNumberFormat="1" applyBorder="1"/>
    <xf numFmtId="165" fontId="0" fillId="4" borderId="0" xfId="0" applyNumberFormat="1" applyFill="1"/>
    <xf numFmtId="165" fontId="2" fillId="5" borderId="17" xfId="0" applyNumberFormat="1" applyFont="1" applyFill="1" applyBorder="1"/>
    <xf numFmtId="165" fontId="2" fillId="0" borderId="0" xfId="0" applyNumberFormat="1" applyFont="1"/>
    <xf numFmtId="165" fontId="0" fillId="3" borderId="0" xfId="0" applyNumberFormat="1" applyFill="1"/>
    <xf numFmtId="165" fontId="0" fillId="2" borderId="11" xfId="0" applyNumberFormat="1" applyFill="1" applyBorder="1"/>
    <xf numFmtId="165" fontId="0" fillId="2" borderId="0" xfId="0" applyNumberFormat="1" applyFill="1"/>
    <xf numFmtId="165" fontId="0" fillId="2" borderId="14" xfId="0" applyNumberFormat="1" applyFill="1" applyBorder="1"/>
    <xf numFmtId="165" fontId="9" fillId="0" borderId="0" xfId="0" applyNumberFormat="1" applyFont="1"/>
    <xf numFmtId="165" fontId="0" fillId="2" borderId="12" xfId="0" applyNumberFormat="1" applyFill="1" applyBorder="1"/>
    <xf numFmtId="165" fontId="2" fillId="2" borderId="19" xfId="0" applyNumberFormat="1" applyFont="1" applyFill="1" applyBorder="1"/>
    <xf numFmtId="165" fontId="0" fillId="2" borderId="15" xfId="0" applyNumberFormat="1" applyFill="1" applyBorder="1"/>
    <xf numFmtId="165" fontId="0" fillId="0" borderId="25" xfId="0" applyNumberFormat="1" applyBorder="1"/>
    <xf numFmtId="165" fontId="11" fillId="0" borderId="0" xfId="0" applyNumberFormat="1" applyFont="1"/>
    <xf numFmtId="165" fontId="12" fillId="0" borderId="0" xfId="0" applyNumberFormat="1" applyFont="1" applyAlignment="1">
      <alignment horizontal="right" vertical="center"/>
    </xf>
    <xf numFmtId="0" fontId="6" fillId="0" borderId="27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5" borderId="20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left" vertical="center"/>
    </xf>
    <xf numFmtId="0" fontId="2" fillId="5" borderId="23" xfId="0" applyFont="1" applyFill="1" applyBorder="1" applyAlignment="1">
      <alignment horizontal="left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1" fillId="0" borderId="25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75"/>
  <sheetViews>
    <sheetView tabSelected="1" topLeftCell="A154" zoomScale="90" zoomScaleNormal="90" workbookViewId="0">
      <selection activeCell="C178" sqref="C178"/>
    </sheetView>
  </sheetViews>
  <sheetFormatPr baseColWidth="10" defaultRowHeight="14.4" x14ac:dyDescent="0.3"/>
  <cols>
    <col min="2" max="2" width="19.33203125" style="123" customWidth="1"/>
    <col min="3" max="3" width="96.6640625" style="89" customWidth="1"/>
    <col min="4" max="4" width="23" style="142" customWidth="1"/>
    <col min="5" max="5" width="26" style="64" customWidth="1"/>
    <col min="6" max="6" width="13.109375" style="43" customWidth="1"/>
    <col min="7" max="7" width="8.109375" style="65" customWidth="1"/>
    <col min="8" max="8" width="11.44140625" style="65"/>
    <col min="9" max="9" width="9.6640625" style="57" customWidth="1"/>
    <col min="10" max="11" width="9.6640625" customWidth="1"/>
    <col min="12" max="12" width="9.6640625" style="72" customWidth="1"/>
    <col min="13" max="13" width="6.44140625" style="57" bestFit="1" customWidth="1"/>
    <col min="14" max="14" width="9.109375" style="72" bestFit="1" customWidth="1"/>
  </cols>
  <sheetData>
    <row r="1" spans="1:9" x14ac:dyDescent="0.3">
      <c r="A1" s="161" t="s">
        <v>67</v>
      </c>
      <c r="B1" s="163" t="s">
        <v>154</v>
      </c>
      <c r="C1" s="165" t="s">
        <v>155</v>
      </c>
      <c r="D1" s="165"/>
      <c r="E1" s="165"/>
      <c r="F1" s="165"/>
      <c r="G1" s="165"/>
      <c r="H1" s="166"/>
    </row>
    <row r="2" spans="1:9" ht="15" thickBot="1" x14ac:dyDescent="0.35">
      <c r="A2" s="162"/>
      <c r="B2" s="164"/>
      <c r="C2" s="88" t="s">
        <v>149</v>
      </c>
      <c r="D2" s="141"/>
      <c r="E2" s="48" t="s">
        <v>150</v>
      </c>
      <c r="F2" s="48" t="s">
        <v>151</v>
      </c>
      <c r="G2" s="77" t="s">
        <v>152</v>
      </c>
      <c r="H2" s="59" t="s">
        <v>153</v>
      </c>
      <c r="I2" s="60"/>
    </row>
    <row r="3" spans="1:9" x14ac:dyDescent="0.3">
      <c r="A3" t="s">
        <v>99</v>
      </c>
      <c r="B3" s="123" t="s">
        <v>157</v>
      </c>
      <c r="C3" s="89" t="s">
        <v>158</v>
      </c>
      <c r="E3" s="64" t="s">
        <v>156</v>
      </c>
      <c r="F3" s="43" t="s">
        <v>156</v>
      </c>
      <c r="G3" s="65" t="s">
        <v>158</v>
      </c>
      <c r="H3" s="65" t="s">
        <v>156</v>
      </c>
    </row>
    <row r="7" spans="1:9" x14ac:dyDescent="0.3">
      <c r="A7" s="1">
        <v>43173</v>
      </c>
      <c r="B7" s="123" t="s">
        <v>165</v>
      </c>
      <c r="C7" s="89" t="s">
        <v>166</v>
      </c>
    </row>
    <row r="8" spans="1:9" x14ac:dyDescent="0.3">
      <c r="A8" s="1">
        <v>43182</v>
      </c>
      <c r="B8" s="123" t="s">
        <v>167</v>
      </c>
      <c r="C8" s="89" t="s">
        <v>168</v>
      </c>
    </row>
    <row r="9" spans="1:9" x14ac:dyDescent="0.3">
      <c r="A9" s="1">
        <v>43468</v>
      </c>
      <c r="B9" s="123" t="s">
        <v>8</v>
      </c>
      <c r="C9" s="89" t="s">
        <v>9</v>
      </c>
    </row>
    <row r="10" spans="1:9" ht="15" thickBot="1" x14ac:dyDescent="0.35">
      <c r="A10" s="1">
        <v>43516</v>
      </c>
      <c r="B10" s="123" t="s">
        <v>169</v>
      </c>
      <c r="C10" s="89" t="s">
        <v>170</v>
      </c>
    </row>
    <row r="11" spans="1:9" ht="15" thickBot="1" x14ac:dyDescent="0.35">
      <c r="A11" s="34">
        <v>43516</v>
      </c>
      <c r="B11" s="124" t="s">
        <v>7</v>
      </c>
      <c r="C11" s="90" t="s">
        <v>87</v>
      </c>
    </row>
    <row r="12" spans="1:9" x14ac:dyDescent="0.3">
      <c r="A12" s="34">
        <v>43530</v>
      </c>
      <c r="B12" s="125" t="s">
        <v>90</v>
      </c>
      <c r="C12" s="91" t="s">
        <v>91</v>
      </c>
      <c r="D12" s="143">
        <v>-1800</v>
      </c>
    </row>
    <row r="13" spans="1:9" x14ac:dyDescent="0.3">
      <c r="A13" s="37">
        <v>43595</v>
      </c>
      <c r="B13" s="126" t="s">
        <v>92</v>
      </c>
      <c r="C13" s="92" t="s">
        <v>93</v>
      </c>
      <c r="D13" s="142">
        <v>-5400</v>
      </c>
    </row>
    <row r="14" spans="1:9" x14ac:dyDescent="0.3">
      <c r="A14" s="37">
        <v>43594</v>
      </c>
      <c r="B14" s="127" t="s">
        <v>94</v>
      </c>
      <c r="C14" s="93" t="s">
        <v>96</v>
      </c>
      <c r="D14" s="142">
        <v>6006</v>
      </c>
    </row>
    <row r="15" spans="1:9" x14ac:dyDescent="0.3">
      <c r="A15" s="37">
        <v>43634</v>
      </c>
      <c r="B15" s="127" t="s">
        <v>95</v>
      </c>
      <c r="C15" s="93" t="s">
        <v>97</v>
      </c>
      <c r="D15" s="142">
        <v>881</v>
      </c>
    </row>
    <row r="16" spans="1:9" ht="15" thickBot="1" x14ac:dyDescent="0.35">
      <c r="A16" s="35">
        <v>43909</v>
      </c>
      <c r="B16" s="128" t="s">
        <v>5</v>
      </c>
      <c r="C16" s="94" t="s">
        <v>98</v>
      </c>
      <c r="D16" s="144">
        <v>301</v>
      </c>
    </row>
    <row r="17" spans="1:14" x14ac:dyDescent="0.3">
      <c r="A17" s="37">
        <v>43909</v>
      </c>
      <c r="B17" s="127" t="s">
        <v>5</v>
      </c>
      <c r="C17" s="95" t="s">
        <v>6</v>
      </c>
    </row>
    <row r="18" spans="1:14" ht="15" thickBot="1" x14ac:dyDescent="0.35">
      <c r="A18" s="35">
        <v>43909</v>
      </c>
      <c r="B18" s="128" t="s">
        <v>0</v>
      </c>
      <c r="C18" s="96" t="s">
        <v>1</v>
      </c>
    </row>
    <row r="19" spans="1:14" x14ac:dyDescent="0.3">
      <c r="A19" s="34">
        <v>44175</v>
      </c>
      <c r="B19" s="124" t="s">
        <v>3</v>
      </c>
      <c r="C19" s="97" t="s">
        <v>4</v>
      </c>
    </row>
    <row r="20" spans="1:14" ht="15" thickBot="1" x14ac:dyDescent="0.35">
      <c r="A20" s="35">
        <v>44188</v>
      </c>
      <c r="B20" s="128" t="s">
        <v>2</v>
      </c>
      <c r="C20" s="96" t="s">
        <v>18</v>
      </c>
    </row>
    <row r="21" spans="1:14" x14ac:dyDescent="0.3">
      <c r="H21" s="167"/>
      <c r="I21" s="167"/>
      <c r="J21" s="167"/>
      <c r="K21" s="167"/>
    </row>
    <row r="22" spans="1:14" x14ac:dyDescent="0.3">
      <c r="A22" s="36"/>
      <c r="B22" s="129"/>
      <c r="C22" s="98"/>
      <c r="D22" s="145"/>
      <c r="E22" s="66"/>
      <c r="F22" s="67"/>
      <c r="G22" s="68"/>
      <c r="H22" s="68"/>
      <c r="I22" s="60"/>
      <c r="J22" s="4"/>
      <c r="K22" s="4"/>
    </row>
    <row r="23" spans="1:14" ht="21.6" thickBot="1" x14ac:dyDescent="0.45">
      <c r="A23" s="42" t="s">
        <v>99</v>
      </c>
      <c r="B23" s="130"/>
      <c r="E23" s="175" t="s">
        <v>225</v>
      </c>
      <c r="F23" s="176"/>
      <c r="G23" s="176"/>
      <c r="H23" s="176"/>
      <c r="I23" s="168" t="s">
        <v>226</v>
      </c>
      <c r="J23" s="169"/>
      <c r="K23" s="169"/>
      <c r="L23" s="170"/>
      <c r="M23" s="159" t="s">
        <v>227</v>
      </c>
      <c r="N23" s="160"/>
    </row>
    <row r="24" spans="1:14" ht="15" thickBot="1" x14ac:dyDescent="0.35">
      <c r="A24" s="40" t="s">
        <v>100</v>
      </c>
      <c r="B24" s="131" t="s">
        <v>101</v>
      </c>
      <c r="C24" s="99" t="s">
        <v>102</v>
      </c>
      <c r="D24" s="146" t="s">
        <v>103</v>
      </c>
      <c r="E24" s="61" t="s">
        <v>137</v>
      </c>
      <c r="F24" s="44" t="s">
        <v>136</v>
      </c>
      <c r="G24" s="56" t="s">
        <v>104</v>
      </c>
      <c r="H24" s="56" t="s">
        <v>105</v>
      </c>
      <c r="I24" s="61" t="s">
        <v>137</v>
      </c>
      <c r="J24" s="44" t="s">
        <v>136</v>
      </c>
      <c r="K24" s="41" t="s">
        <v>104</v>
      </c>
      <c r="L24" s="62" t="s">
        <v>105</v>
      </c>
      <c r="M24" s="58" t="s">
        <v>228</v>
      </c>
      <c r="N24" s="55" t="s">
        <v>229</v>
      </c>
    </row>
    <row r="25" spans="1:14" x14ac:dyDescent="0.3">
      <c r="A25" s="39"/>
      <c r="B25" s="132"/>
      <c r="C25" s="100"/>
      <c r="D25" s="147"/>
      <c r="E25" s="69"/>
      <c r="F25" s="45"/>
      <c r="G25" s="46"/>
      <c r="H25" s="46"/>
      <c r="I25" s="60"/>
      <c r="J25" s="4"/>
      <c r="K25" s="4"/>
    </row>
    <row r="26" spans="1:14" x14ac:dyDescent="0.3">
      <c r="A26" s="47">
        <v>43468</v>
      </c>
      <c r="B26" s="133" t="s">
        <v>8</v>
      </c>
      <c r="C26" s="101" t="s">
        <v>9</v>
      </c>
      <c r="D26" s="148"/>
      <c r="E26" s="71"/>
      <c r="F26" s="80"/>
      <c r="G26" s="73"/>
      <c r="H26" s="73"/>
      <c r="I26" s="74"/>
      <c r="J26" s="75"/>
      <c r="K26" s="75"/>
      <c r="L26" s="76">
        <f>K26</f>
        <v>0</v>
      </c>
      <c r="M26" s="57">
        <f>-70/0.8</f>
        <v>-87.5</v>
      </c>
      <c r="N26" s="72">
        <f>M26</f>
        <v>-87.5</v>
      </c>
    </row>
    <row r="27" spans="1:14" x14ac:dyDescent="0.3">
      <c r="A27" s="47">
        <v>44140</v>
      </c>
      <c r="B27" s="133" t="s">
        <v>88</v>
      </c>
      <c r="C27" s="101" t="s">
        <v>89</v>
      </c>
      <c r="D27" s="148"/>
      <c r="E27" s="71"/>
      <c r="F27" s="80"/>
      <c r="G27" s="73"/>
      <c r="H27" s="73"/>
      <c r="I27" s="74"/>
      <c r="J27" s="75"/>
      <c r="K27" s="75"/>
      <c r="L27" s="76">
        <f>L26+K27</f>
        <v>0</v>
      </c>
      <c r="M27" s="57">
        <f>-20/0.8</f>
        <v>-25</v>
      </c>
      <c r="N27" s="72">
        <f>M27+N26</f>
        <v>-112.5</v>
      </c>
    </row>
    <row r="28" spans="1:14" x14ac:dyDescent="0.3">
      <c r="A28" s="1">
        <v>44463</v>
      </c>
      <c r="B28" s="123" t="s">
        <v>19</v>
      </c>
      <c r="C28" s="89" t="s">
        <v>25</v>
      </c>
      <c r="D28" s="142" t="s">
        <v>21</v>
      </c>
      <c r="E28" s="172">
        <f>205000+300000+200000</f>
        <v>705000</v>
      </c>
      <c r="F28" s="174">
        <v>270</v>
      </c>
      <c r="G28" s="171">
        <v>-2611</v>
      </c>
      <c r="H28" s="173">
        <v>-2611</v>
      </c>
      <c r="I28" s="63"/>
      <c r="L28" s="72">
        <f t="shared" ref="L28:L80" si="0">L27+K28</f>
        <v>0</v>
      </c>
      <c r="N28" s="72">
        <f t="shared" ref="N28:N80" si="1">M28+N27</f>
        <v>-112.5</v>
      </c>
    </row>
    <row r="29" spans="1:14" x14ac:dyDescent="0.3">
      <c r="A29" s="1">
        <v>44463</v>
      </c>
      <c r="B29" s="123" t="s">
        <v>19</v>
      </c>
      <c r="C29" s="89" t="s">
        <v>26</v>
      </c>
      <c r="D29" s="142" t="s">
        <v>21</v>
      </c>
      <c r="E29" s="172"/>
      <c r="F29" s="174"/>
      <c r="G29" s="171"/>
      <c r="H29" s="173"/>
      <c r="I29" s="63"/>
      <c r="L29" s="72">
        <f t="shared" si="0"/>
        <v>0</v>
      </c>
      <c r="N29" s="72">
        <f t="shared" si="1"/>
        <v>-112.5</v>
      </c>
    </row>
    <row r="30" spans="1:14" x14ac:dyDescent="0.3">
      <c r="A30" s="1">
        <v>44470</v>
      </c>
      <c r="B30" s="123" t="s">
        <v>19</v>
      </c>
      <c r="C30" s="89" t="s">
        <v>20</v>
      </c>
      <c r="D30" s="142" t="s">
        <v>21</v>
      </c>
      <c r="E30" s="172"/>
      <c r="F30" s="174"/>
      <c r="G30" s="171"/>
      <c r="H30" s="173"/>
      <c r="I30" s="63"/>
      <c r="L30" s="72">
        <f t="shared" si="0"/>
        <v>0</v>
      </c>
      <c r="N30" s="72">
        <f t="shared" si="1"/>
        <v>-112.5</v>
      </c>
    </row>
    <row r="31" spans="1:14" x14ac:dyDescent="0.3">
      <c r="A31" s="1">
        <v>44557</v>
      </c>
      <c r="B31" s="123" t="s">
        <v>22</v>
      </c>
      <c r="C31" s="89" t="s">
        <v>23</v>
      </c>
      <c r="D31" s="142" t="s">
        <v>24</v>
      </c>
      <c r="F31" s="81"/>
      <c r="G31" s="78">
        <v>-3000</v>
      </c>
      <c r="H31" s="70">
        <f>H28+G31</f>
        <v>-5611</v>
      </c>
      <c r="I31" s="63"/>
      <c r="L31" s="72">
        <f t="shared" si="0"/>
        <v>0</v>
      </c>
      <c r="N31" s="72">
        <f t="shared" si="1"/>
        <v>-112.5</v>
      </c>
    </row>
    <row r="32" spans="1:14" x14ac:dyDescent="0.3">
      <c r="A32" s="1">
        <v>44565</v>
      </c>
      <c r="B32" s="123" t="s">
        <v>106</v>
      </c>
      <c r="C32" s="89" t="s">
        <v>127</v>
      </c>
      <c r="E32" s="64">
        <v>3780</v>
      </c>
      <c r="F32" s="81">
        <v>270</v>
      </c>
      <c r="G32" s="78">
        <v>-14</v>
      </c>
      <c r="H32" s="70">
        <f>H31+G32</f>
        <v>-5625</v>
      </c>
      <c r="I32" s="63"/>
      <c r="L32" s="72">
        <f t="shared" si="0"/>
        <v>0</v>
      </c>
      <c r="N32" s="72">
        <f t="shared" si="1"/>
        <v>-112.5</v>
      </c>
    </row>
    <row r="33" spans="1:14" x14ac:dyDescent="0.3">
      <c r="A33" s="1">
        <v>44565</v>
      </c>
      <c r="B33" s="123" t="s">
        <v>106</v>
      </c>
      <c r="C33" s="89" t="s">
        <v>130</v>
      </c>
      <c r="E33" s="64">
        <v>2000</v>
      </c>
      <c r="F33" s="81">
        <v>270</v>
      </c>
      <c r="G33" s="78">
        <v>-22</v>
      </c>
      <c r="H33" s="70">
        <f t="shared" ref="H33:H80" si="2">H32+G33</f>
        <v>-5647</v>
      </c>
      <c r="I33" s="63"/>
      <c r="L33" s="72">
        <f t="shared" si="0"/>
        <v>0</v>
      </c>
      <c r="N33" s="72">
        <f t="shared" si="1"/>
        <v>-112.5</v>
      </c>
    </row>
    <row r="34" spans="1:14" x14ac:dyDescent="0.3">
      <c r="A34" s="1">
        <v>44567</v>
      </c>
      <c r="B34" s="123" t="s">
        <v>107</v>
      </c>
      <c r="C34" s="89" t="s">
        <v>129</v>
      </c>
      <c r="E34" s="64">
        <v>2700</v>
      </c>
      <c r="F34" s="81">
        <v>270</v>
      </c>
      <c r="G34" s="78">
        <v>-10</v>
      </c>
      <c r="H34" s="70">
        <f t="shared" si="2"/>
        <v>-5657</v>
      </c>
      <c r="I34" s="63"/>
      <c r="L34" s="72">
        <f t="shared" si="0"/>
        <v>0</v>
      </c>
      <c r="N34" s="72">
        <f t="shared" si="1"/>
        <v>-112.5</v>
      </c>
    </row>
    <row r="35" spans="1:14" x14ac:dyDescent="0.3">
      <c r="A35" s="1">
        <v>44206</v>
      </c>
      <c r="B35" s="123" t="s">
        <v>111</v>
      </c>
      <c r="C35" s="89" t="s">
        <v>131</v>
      </c>
      <c r="E35" s="64" t="s">
        <v>138</v>
      </c>
      <c r="F35" s="81"/>
      <c r="G35" s="78">
        <v>-610</v>
      </c>
      <c r="H35" s="70">
        <f t="shared" si="2"/>
        <v>-6267</v>
      </c>
      <c r="I35" s="63"/>
      <c r="L35" s="72">
        <f t="shared" si="0"/>
        <v>0</v>
      </c>
      <c r="N35" s="72">
        <f t="shared" si="1"/>
        <v>-112.5</v>
      </c>
    </row>
    <row r="36" spans="1:14" x14ac:dyDescent="0.3">
      <c r="A36" s="1">
        <v>44573</v>
      </c>
      <c r="B36" s="123" t="s">
        <v>110</v>
      </c>
      <c r="C36" s="89" t="s">
        <v>132</v>
      </c>
      <c r="E36" s="64" t="s">
        <v>138</v>
      </c>
      <c r="F36" s="81"/>
      <c r="G36" s="78">
        <v>-305</v>
      </c>
      <c r="H36" s="70">
        <f t="shared" si="2"/>
        <v>-6572</v>
      </c>
      <c r="L36" s="72">
        <f t="shared" si="0"/>
        <v>0</v>
      </c>
      <c r="N36" s="72">
        <f t="shared" si="1"/>
        <v>-112.5</v>
      </c>
    </row>
    <row r="37" spans="1:14" x14ac:dyDescent="0.3">
      <c r="A37" s="1">
        <v>44573</v>
      </c>
      <c r="B37" s="123" t="s">
        <v>112</v>
      </c>
      <c r="C37" s="89" t="s">
        <v>108</v>
      </c>
      <c r="D37" s="142" t="s">
        <v>24</v>
      </c>
      <c r="F37" s="81">
        <v>290</v>
      </c>
      <c r="G37" s="78">
        <v>-2100</v>
      </c>
      <c r="H37" s="70">
        <f t="shared" si="2"/>
        <v>-8672</v>
      </c>
      <c r="L37" s="72">
        <f t="shared" si="0"/>
        <v>0</v>
      </c>
      <c r="N37" s="72">
        <f t="shared" si="1"/>
        <v>-112.5</v>
      </c>
    </row>
    <row r="38" spans="1:14" x14ac:dyDescent="0.3">
      <c r="A38" s="1">
        <v>44575</v>
      </c>
      <c r="B38" s="123" t="s">
        <v>109</v>
      </c>
      <c r="C38" s="89" t="s">
        <v>135</v>
      </c>
      <c r="D38" s="142" t="s">
        <v>114</v>
      </c>
      <c r="E38" s="64" t="s">
        <v>138</v>
      </c>
      <c r="F38" s="81"/>
      <c r="G38" s="78">
        <v>-305</v>
      </c>
      <c r="H38" s="70">
        <f t="shared" si="2"/>
        <v>-8977</v>
      </c>
      <c r="L38" s="72">
        <f t="shared" si="0"/>
        <v>0</v>
      </c>
      <c r="N38" s="72">
        <f t="shared" si="1"/>
        <v>-112.5</v>
      </c>
    </row>
    <row r="39" spans="1:14" x14ac:dyDescent="0.3">
      <c r="A39" s="1">
        <v>44596</v>
      </c>
      <c r="B39" s="123" t="s">
        <v>118</v>
      </c>
      <c r="C39" s="89" t="s">
        <v>113</v>
      </c>
      <c r="E39" s="64" t="s">
        <v>139</v>
      </c>
      <c r="F39" s="81"/>
      <c r="G39" s="78">
        <v>-305</v>
      </c>
      <c r="H39" s="70">
        <f t="shared" si="2"/>
        <v>-9282</v>
      </c>
      <c r="L39" s="72">
        <f t="shared" si="0"/>
        <v>0</v>
      </c>
      <c r="N39" s="72">
        <f t="shared" si="1"/>
        <v>-112.5</v>
      </c>
    </row>
    <row r="40" spans="1:14" x14ac:dyDescent="0.3">
      <c r="A40" s="1">
        <v>44601</v>
      </c>
      <c r="B40" s="123" t="s">
        <v>115</v>
      </c>
      <c r="C40" s="89" t="s">
        <v>128</v>
      </c>
      <c r="F40" s="81">
        <v>280</v>
      </c>
      <c r="G40" s="78">
        <v>-1500</v>
      </c>
      <c r="H40" s="70">
        <f t="shared" si="2"/>
        <v>-10782</v>
      </c>
      <c r="L40" s="72">
        <f t="shared" si="0"/>
        <v>0</v>
      </c>
      <c r="N40" s="72">
        <f t="shared" si="1"/>
        <v>-112.5</v>
      </c>
    </row>
    <row r="41" spans="1:14" x14ac:dyDescent="0.3">
      <c r="A41" s="1">
        <v>44609</v>
      </c>
      <c r="B41" s="123" t="s">
        <v>116</v>
      </c>
      <c r="C41" s="100" t="s">
        <v>126</v>
      </c>
      <c r="D41" s="142" t="s">
        <v>117</v>
      </c>
      <c r="F41" s="81"/>
      <c r="G41" s="78">
        <v>10411</v>
      </c>
      <c r="H41" s="70">
        <f t="shared" si="2"/>
        <v>-371</v>
      </c>
      <c r="L41" s="72">
        <f t="shared" si="0"/>
        <v>0</v>
      </c>
      <c r="N41" s="72">
        <f t="shared" si="1"/>
        <v>-112.5</v>
      </c>
    </row>
    <row r="42" spans="1:14" x14ac:dyDescent="0.3">
      <c r="A42" s="1">
        <v>44638</v>
      </c>
      <c r="B42" s="123" t="s">
        <v>120</v>
      </c>
      <c r="C42" s="89" t="s">
        <v>134</v>
      </c>
      <c r="E42" s="64" t="s">
        <v>138</v>
      </c>
      <c r="F42" s="81"/>
      <c r="G42" s="65">
        <v>-610</v>
      </c>
      <c r="H42" s="70">
        <f t="shared" si="2"/>
        <v>-981</v>
      </c>
      <c r="L42" s="72">
        <f t="shared" si="0"/>
        <v>0</v>
      </c>
      <c r="N42" s="72">
        <f t="shared" si="1"/>
        <v>-112.5</v>
      </c>
    </row>
    <row r="43" spans="1:14" ht="15" thickBot="1" x14ac:dyDescent="0.35">
      <c r="A43" s="1">
        <v>44638</v>
      </c>
      <c r="B43" s="123" t="s">
        <v>119</v>
      </c>
      <c r="C43" s="89" t="s">
        <v>133</v>
      </c>
      <c r="E43" s="64" t="s">
        <v>139</v>
      </c>
      <c r="F43" s="81"/>
      <c r="G43" s="78">
        <v>-82</v>
      </c>
      <c r="H43" s="70">
        <f t="shared" si="2"/>
        <v>-1063</v>
      </c>
      <c r="L43" s="72">
        <f t="shared" si="0"/>
        <v>0</v>
      </c>
      <c r="N43" s="72">
        <f t="shared" si="1"/>
        <v>-112.5</v>
      </c>
    </row>
    <row r="44" spans="1:14" x14ac:dyDescent="0.3">
      <c r="A44" s="34">
        <v>44641</v>
      </c>
      <c r="B44" s="124" t="s">
        <v>121</v>
      </c>
      <c r="C44" s="91" t="s">
        <v>122</v>
      </c>
      <c r="D44" s="149" t="s">
        <v>124</v>
      </c>
      <c r="E44" s="71"/>
      <c r="F44" s="80"/>
      <c r="H44" s="70">
        <f t="shared" si="2"/>
        <v>-1063</v>
      </c>
      <c r="L44" s="72">
        <f t="shared" si="0"/>
        <v>0</v>
      </c>
      <c r="N44" s="72">
        <f t="shared" si="1"/>
        <v>-112.5</v>
      </c>
    </row>
    <row r="45" spans="1:14" x14ac:dyDescent="0.3">
      <c r="A45" s="37">
        <v>44641</v>
      </c>
      <c r="B45" s="127" t="s">
        <v>121</v>
      </c>
      <c r="C45" s="92" t="s">
        <v>123</v>
      </c>
      <c r="D45" s="150" t="s">
        <v>124</v>
      </c>
      <c r="E45" s="71"/>
      <c r="F45" s="80"/>
      <c r="H45" s="70">
        <f t="shared" si="2"/>
        <v>-1063</v>
      </c>
      <c r="L45" s="72">
        <f t="shared" si="0"/>
        <v>0</v>
      </c>
      <c r="N45" s="72">
        <f t="shared" si="1"/>
        <v>-112.5</v>
      </c>
    </row>
    <row r="46" spans="1:14" ht="15" thickBot="1" x14ac:dyDescent="0.35">
      <c r="A46" s="35">
        <v>44655</v>
      </c>
      <c r="B46" s="128" t="s">
        <v>143</v>
      </c>
      <c r="C46" s="102" t="s">
        <v>125</v>
      </c>
      <c r="D46" s="151"/>
      <c r="E46" s="71"/>
      <c r="F46" s="80"/>
      <c r="H46" s="70">
        <f t="shared" si="2"/>
        <v>-1063</v>
      </c>
      <c r="L46" s="72">
        <f t="shared" si="0"/>
        <v>0</v>
      </c>
      <c r="N46" s="72">
        <f t="shared" si="1"/>
        <v>-112.5</v>
      </c>
    </row>
    <row r="47" spans="1:14" x14ac:dyDescent="0.3">
      <c r="A47" s="1">
        <v>44683</v>
      </c>
      <c r="B47" s="123" t="s">
        <v>140</v>
      </c>
      <c r="C47" s="89" t="s">
        <v>141</v>
      </c>
      <c r="D47" s="142" t="s">
        <v>78</v>
      </c>
      <c r="E47" s="64">
        <v>2000</v>
      </c>
      <c r="F47" s="81">
        <v>280</v>
      </c>
      <c r="G47" s="65">
        <f>-200*2000/280</f>
        <v>-1428.5714285714287</v>
      </c>
      <c r="H47" s="70">
        <f t="shared" si="2"/>
        <v>-2491.5714285714284</v>
      </c>
      <c r="L47" s="72">
        <f t="shared" si="0"/>
        <v>0</v>
      </c>
      <c r="N47" s="72">
        <f t="shared" si="1"/>
        <v>-112.5</v>
      </c>
    </row>
    <row r="48" spans="1:14" x14ac:dyDescent="0.3">
      <c r="A48" s="1">
        <v>44683</v>
      </c>
      <c r="B48" s="123" t="s">
        <v>140</v>
      </c>
      <c r="C48" s="89" t="s">
        <v>142</v>
      </c>
      <c r="D48" s="142" t="s">
        <v>78</v>
      </c>
      <c r="E48" s="64">
        <v>115</v>
      </c>
      <c r="F48" s="81">
        <v>280</v>
      </c>
      <c r="G48" s="65">
        <f>-2000*115/280</f>
        <v>-821.42857142857144</v>
      </c>
      <c r="H48" s="70">
        <f t="shared" si="2"/>
        <v>-3313</v>
      </c>
      <c r="L48" s="72">
        <f t="shared" si="0"/>
        <v>0</v>
      </c>
      <c r="N48" s="72">
        <f t="shared" si="1"/>
        <v>-112.5</v>
      </c>
    </row>
    <row r="49" spans="1:14" x14ac:dyDescent="0.3">
      <c r="A49" s="1">
        <v>44733</v>
      </c>
      <c r="B49" s="123" t="s">
        <v>144</v>
      </c>
      <c r="C49" s="89" t="s">
        <v>231</v>
      </c>
      <c r="D49" s="142" t="s">
        <v>145</v>
      </c>
      <c r="E49" s="64">
        <v>3800</v>
      </c>
      <c r="F49" s="81">
        <v>280</v>
      </c>
      <c r="G49" s="65">
        <f>-7*3800/280</f>
        <v>-95</v>
      </c>
      <c r="H49" s="70">
        <f t="shared" si="2"/>
        <v>-3408</v>
      </c>
      <c r="L49" s="72">
        <f t="shared" si="0"/>
        <v>0</v>
      </c>
      <c r="N49" s="72">
        <f t="shared" si="1"/>
        <v>-112.5</v>
      </c>
    </row>
    <row r="50" spans="1:14" x14ac:dyDescent="0.3">
      <c r="A50" s="1">
        <v>44746</v>
      </c>
      <c r="B50" s="123" t="s">
        <v>146</v>
      </c>
      <c r="C50" s="89" t="s">
        <v>182</v>
      </c>
      <c r="D50" s="142" t="s">
        <v>124</v>
      </c>
      <c r="F50" s="81"/>
      <c r="G50" s="65">
        <f>-3300*262/280</f>
        <v>-3087.8571428571427</v>
      </c>
      <c r="H50" s="70">
        <f t="shared" si="2"/>
        <v>-6495.8571428571431</v>
      </c>
      <c r="L50" s="72">
        <f t="shared" si="0"/>
        <v>0</v>
      </c>
      <c r="N50" s="72">
        <f t="shared" si="1"/>
        <v>-112.5</v>
      </c>
    </row>
    <row r="51" spans="1:14" x14ac:dyDescent="0.3">
      <c r="A51" s="1">
        <v>44768</v>
      </c>
      <c r="B51" s="123" t="s">
        <v>147</v>
      </c>
      <c r="C51" s="89" t="s">
        <v>148</v>
      </c>
      <c r="D51" s="142" t="s">
        <v>78</v>
      </c>
      <c r="E51" s="71"/>
      <c r="F51" s="80"/>
      <c r="G51" s="73"/>
      <c r="H51" s="70">
        <f t="shared" si="2"/>
        <v>-6495.8571428571431</v>
      </c>
      <c r="I51" s="79"/>
      <c r="J51" s="38"/>
      <c r="K51" s="38"/>
      <c r="L51" s="72">
        <f t="shared" si="0"/>
        <v>0</v>
      </c>
      <c r="M51" s="57">
        <f>-200/0.8</f>
        <v>-250</v>
      </c>
      <c r="N51" s="72">
        <f t="shared" si="1"/>
        <v>-362.5</v>
      </c>
    </row>
    <row r="52" spans="1:14" x14ac:dyDescent="0.3">
      <c r="A52" s="1">
        <v>44781</v>
      </c>
      <c r="B52" s="123" t="s">
        <v>159</v>
      </c>
      <c r="C52" s="89" t="s">
        <v>160</v>
      </c>
      <c r="D52" s="142" t="s">
        <v>78</v>
      </c>
      <c r="E52" s="64">
        <v>3800</v>
      </c>
      <c r="F52" s="81">
        <v>300</v>
      </c>
      <c r="G52" s="65">
        <f>-2*3800/300</f>
        <v>-25.333333333333332</v>
      </c>
      <c r="H52" s="70">
        <f t="shared" si="2"/>
        <v>-6521.1904761904761</v>
      </c>
      <c r="L52" s="72">
        <f t="shared" si="0"/>
        <v>0</v>
      </c>
      <c r="N52" s="72">
        <f t="shared" si="1"/>
        <v>-362.5</v>
      </c>
    </row>
    <row r="53" spans="1:14" x14ac:dyDescent="0.3">
      <c r="A53" s="1">
        <v>44784</v>
      </c>
      <c r="B53" s="123" t="s">
        <v>161</v>
      </c>
      <c r="C53" s="89" t="s">
        <v>162</v>
      </c>
      <c r="D53" s="142" t="s">
        <v>124</v>
      </c>
      <c r="F53" s="81">
        <v>300</v>
      </c>
      <c r="G53" s="65">
        <v>-672</v>
      </c>
      <c r="H53" s="70">
        <f t="shared" si="2"/>
        <v>-7193.1904761904761</v>
      </c>
      <c r="L53" s="72">
        <f t="shared" si="0"/>
        <v>0</v>
      </c>
      <c r="N53" s="72">
        <f t="shared" si="1"/>
        <v>-362.5</v>
      </c>
    </row>
    <row r="54" spans="1:14" x14ac:dyDescent="0.3">
      <c r="A54" s="1">
        <v>44804</v>
      </c>
      <c r="B54" s="123" t="s">
        <v>163</v>
      </c>
      <c r="C54" s="89" t="s">
        <v>164</v>
      </c>
      <c r="D54" s="142" t="s">
        <v>124</v>
      </c>
      <c r="F54" s="81">
        <v>300</v>
      </c>
      <c r="G54" s="65">
        <f>-300000/F54</f>
        <v>-1000</v>
      </c>
      <c r="H54" s="70">
        <f t="shared" si="2"/>
        <v>-8193.1904761904771</v>
      </c>
      <c r="L54" s="72">
        <f t="shared" si="0"/>
        <v>0</v>
      </c>
      <c r="N54" s="72">
        <f t="shared" si="1"/>
        <v>-362.5</v>
      </c>
    </row>
    <row r="55" spans="1:14" x14ac:dyDescent="0.3">
      <c r="A55" s="1">
        <v>44827</v>
      </c>
      <c r="B55" s="123" t="s">
        <v>171</v>
      </c>
      <c r="C55" s="89" t="s">
        <v>172</v>
      </c>
      <c r="D55" s="142" t="s">
        <v>173</v>
      </c>
      <c r="F55" s="81">
        <v>305</v>
      </c>
      <c r="G55" s="65">
        <f>-300000/F55</f>
        <v>-983.60655737704917</v>
      </c>
      <c r="H55" s="70">
        <f t="shared" si="2"/>
        <v>-9176.7970335675254</v>
      </c>
      <c r="L55" s="72">
        <f t="shared" si="0"/>
        <v>0</v>
      </c>
      <c r="N55" s="72">
        <f t="shared" si="1"/>
        <v>-362.5</v>
      </c>
    </row>
    <row r="56" spans="1:14" x14ac:dyDescent="0.3">
      <c r="A56" s="1">
        <v>44845</v>
      </c>
      <c r="B56" s="123" t="s">
        <v>174</v>
      </c>
      <c r="C56" s="89" t="s">
        <v>175</v>
      </c>
      <c r="D56" s="142" t="s">
        <v>78</v>
      </c>
      <c r="F56" s="81">
        <v>305</v>
      </c>
      <c r="G56" s="65">
        <f>-300000/F56</f>
        <v>-983.60655737704917</v>
      </c>
      <c r="H56" s="70">
        <f t="shared" si="2"/>
        <v>-10160.403590944574</v>
      </c>
      <c r="L56" s="72">
        <f t="shared" si="0"/>
        <v>0</v>
      </c>
      <c r="N56" s="72">
        <f t="shared" si="1"/>
        <v>-362.5</v>
      </c>
    </row>
    <row r="57" spans="1:14" x14ac:dyDescent="0.3">
      <c r="A57" s="1">
        <v>44851</v>
      </c>
      <c r="B57" s="123" t="s">
        <v>176</v>
      </c>
      <c r="C57" s="89" t="s">
        <v>177</v>
      </c>
      <c r="D57" s="142" t="s">
        <v>78</v>
      </c>
      <c r="E57" s="71"/>
      <c r="F57" s="80"/>
      <c r="G57" s="73"/>
      <c r="H57" s="70">
        <f t="shared" si="2"/>
        <v>-10160.403590944574</v>
      </c>
      <c r="I57" s="79"/>
      <c r="J57" s="38"/>
      <c r="K57" s="38"/>
      <c r="L57" s="72">
        <f t="shared" si="0"/>
        <v>0</v>
      </c>
      <c r="M57" s="57">
        <f>-60/0.8</f>
        <v>-75</v>
      </c>
      <c r="N57" s="72">
        <f t="shared" si="1"/>
        <v>-437.5</v>
      </c>
    </row>
    <row r="58" spans="1:14" x14ac:dyDescent="0.3">
      <c r="A58" s="1">
        <v>44867</v>
      </c>
      <c r="B58" s="123" t="s">
        <v>178</v>
      </c>
      <c r="C58" s="89" t="s">
        <v>183</v>
      </c>
      <c r="D58" s="142" t="s">
        <v>179</v>
      </c>
      <c r="F58" s="81"/>
      <c r="G58" s="65">
        <f>-1650*293/310</f>
        <v>-1559.516129032258</v>
      </c>
      <c r="H58" s="70">
        <f t="shared" si="2"/>
        <v>-11719.919719976831</v>
      </c>
      <c r="L58" s="72">
        <f t="shared" si="0"/>
        <v>0</v>
      </c>
      <c r="N58" s="72">
        <f t="shared" si="1"/>
        <v>-437.5</v>
      </c>
    </row>
    <row r="59" spans="1:14" ht="15" thickBot="1" x14ac:dyDescent="0.35">
      <c r="A59" s="1">
        <v>44869</v>
      </c>
      <c r="B59" s="123" t="s">
        <v>180</v>
      </c>
      <c r="C59" s="89" t="s">
        <v>175</v>
      </c>
      <c r="D59" s="142" t="s">
        <v>181</v>
      </c>
      <c r="F59" s="81">
        <v>310</v>
      </c>
      <c r="G59" s="65">
        <f>-300000/F59</f>
        <v>-967.74193548387098</v>
      </c>
      <c r="H59" s="70">
        <f t="shared" si="2"/>
        <v>-12687.661655460703</v>
      </c>
      <c r="L59" s="72">
        <f t="shared" si="0"/>
        <v>0</v>
      </c>
      <c r="N59" s="72">
        <f t="shared" si="1"/>
        <v>-437.5</v>
      </c>
    </row>
    <row r="60" spans="1:14" x14ac:dyDescent="0.3">
      <c r="A60" s="34">
        <v>44895</v>
      </c>
      <c r="B60" s="124" t="s">
        <v>184</v>
      </c>
      <c r="C60" s="97" t="s">
        <v>203</v>
      </c>
      <c r="D60" s="142" t="s">
        <v>117</v>
      </c>
      <c r="E60" s="71"/>
      <c r="F60" s="80"/>
      <c r="G60" s="73"/>
      <c r="H60" s="70">
        <f t="shared" si="2"/>
        <v>-12687.661655460703</v>
      </c>
      <c r="I60" s="79"/>
      <c r="J60" s="38"/>
      <c r="K60" s="38"/>
      <c r="L60" s="72">
        <f t="shared" si="0"/>
        <v>0</v>
      </c>
      <c r="N60" s="72">
        <f t="shared" si="1"/>
        <v>-437.5</v>
      </c>
    </row>
    <row r="61" spans="1:14" ht="15" thickBot="1" x14ac:dyDescent="0.35">
      <c r="A61" s="35">
        <v>44907</v>
      </c>
      <c r="B61" s="128" t="s">
        <v>204</v>
      </c>
      <c r="C61" s="96" t="s">
        <v>205</v>
      </c>
      <c r="E61" s="71"/>
      <c r="F61" s="80"/>
      <c r="G61" s="73"/>
      <c r="H61" s="70">
        <f t="shared" si="2"/>
        <v>-12687.661655460703</v>
      </c>
      <c r="I61" s="79"/>
      <c r="J61" s="38"/>
      <c r="K61" s="38"/>
      <c r="L61" s="72">
        <f t="shared" si="0"/>
        <v>0</v>
      </c>
      <c r="N61" s="72">
        <f t="shared" si="1"/>
        <v>-437.5</v>
      </c>
    </row>
    <row r="62" spans="1:14" x14ac:dyDescent="0.3">
      <c r="A62" s="1">
        <v>44915</v>
      </c>
      <c r="B62" s="123" t="s">
        <v>206</v>
      </c>
      <c r="C62" s="89" t="s">
        <v>207</v>
      </c>
      <c r="D62" s="142" t="s">
        <v>78</v>
      </c>
      <c r="E62" s="64">
        <v>3100</v>
      </c>
      <c r="F62" s="81">
        <v>310</v>
      </c>
      <c r="G62" s="65">
        <f>-3*E62/F62</f>
        <v>-30</v>
      </c>
      <c r="H62" s="70">
        <f t="shared" si="2"/>
        <v>-12717.661655460703</v>
      </c>
      <c r="L62" s="72">
        <f t="shared" si="0"/>
        <v>0</v>
      </c>
      <c r="N62" s="72">
        <f t="shared" si="1"/>
        <v>-437.5</v>
      </c>
    </row>
    <row r="63" spans="1:14" x14ac:dyDescent="0.3">
      <c r="A63" s="1">
        <v>44921</v>
      </c>
      <c r="B63" s="123" t="s">
        <v>208</v>
      </c>
      <c r="C63" s="100" t="s">
        <v>211</v>
      </c>
      <c r="D63" s="142" t="s">
        <v>78</v>
      </c>
      <c r="E63" s="71"/>
      <c r="F63" s="80"/>
      <c r="G63" s="73"/>
      <c r="H63" s="70">
        <f t="shared" si="2"/>
        <v>-12717.661655460703</v>
      </c>
      <c r="K63">
        <v>1987</v>
      </c>
      <c r="L63" s="72">
        <f t="shared" si="0"/>
        <v>1987</v>
      </c>
      <c r="N63" s="72">
        <f t="shared" si="1"/>
        <v>-437.5</v>
      </c>
    </row>
    <row r="64" spans="1:14" x14ac:dyDescent="0.3">
      <c r="A64" s="1">
        <v>44932</v>
      </c>
      <c r="B64" s="123" t="s">
        <v>209</v>
      </c>
      <c r="C64" s="89" t="s">
        <v>210</v>
      </c>
      <c r="D64" s="142" t="s">
        <v>78</v>
      </c>
      <c r="F64" s="81">
        <v>380</v>
      </c>
      <c r="G64" s="65">
        <f>-850000/F64</f>
        <v>-2236.8421052631579</v>
      </c>
      <c r="H64" s="70">
        <f t="shared" si="2"/>
        <v>-14954.503760723861</v>
      </c>
      <c r="L64" s="72">
        <f t="shared" si="0"/>
        <v>1987</v>
      </c>
      <c r="N64" s="72">
        <f t="shared" si="1"/>
        <v>-437.5</v>
      </c>
    </row>
    <row r="65" spans="1:14" x14ac:dyDescent="0.3">
      <c r="A65" s="1">
        <v>44938</v>
      </c>
      <c r="B65" s="123" t="s">
        <v>220</v>
      </c>
      <c r="C65" s="89" t="s">
        <v>221</v>
      </c>
      <c r="E65" s="64" t="s">
        <v>230</v>
      </c>
      <c r="F65" s="81"/>
      <c r="G65" s="65">
        <v>-915</v>
      </c>
      <c r="H65" s="70">
        <f t="shared" si="2"/>
        <v>-15869.503760723861</v>
      </c>
      <c r="L65" s="72">
        <f t="shared" si="0"/>
        <v>1987</v>
      </c>
      <c r="N65" s="72">
        <f t="shared" si="1"/>
        <v>-437.5</v>
      </c>
    </row>
    <row r="66" spans="1:14" x14ac:dyDescent="0.3">
      <c r="A66" s="1">
        <v>44938</v>
      </c>
      <c r="B66" s="123" t="s">
        <v>220</v>
      </c>
      <c r="C66" s="100" t="s">
        <v>232</v>
      </c>
      <c r="F66" s="81"/>
      <c r="G66" s="65">
        <v>1732</v>
      </c>
      <c r="H66" s="70">
        <f t="shared" si="2"/>
        <v>-14137.503760723861</v>
      </c>
      <c r="L66" s="72">
        <f t="shared" si="0"/>
        <v>1987</v>
      </c>
      <c r="N66" s="72">
        <f t="shared" si="1"/>
        <v>-437.5</v>
      </c>
    </row>
    <row r="67" spans="1:14" x14ac:dyDescent="0.3">
      <c r="A67" s="1">
        <v>44942</v>
      </c>
      <c r="B67" s="123" t="s">
        <v>212</v>
      </c>
      <c r="C67" s="89" t="s">
        <v>213</v>
      </c>
      <c r="D67" s="142" t="s">
        <v>78</v>
      </c>
      <c r="E67" s="64" t="s">
        <v>230</v>
      </c>
      <c r="F67" s="81"/>
      <c r="G67" s="65">
        <v>-915</v>
      </c>
      <c r="H67" s="70">
        <f t="shared" si="2"/>
        <v>-15052.503760723861</v>
      </c>
      <c r="L67" s="72">
        <f t="shared" si="0"/>
        <v>1987</v>
      </c>
      <c r="N67" s="72">
        <f t="shared" si="1"/>
        <v>-437.5</v>
      </c>
    </row>
    <row r="68" spans="1:14" x14ac:dyDescent="0.3">
      <c r="A68" s="1">
        <v>44943</v>
      </c>
      <c r="B68" s="123" t="s">
        <v>214</v>
      </c>
      <c r="C68" s="100" t="s">
        <v>215</v>
      </c>
      <c r="D68" s="142" t="s">
        <v>78</v>
      </c>
      <c r="F68" s="81"/>
      <c r="H68" s="70">
        <f t="shared" si="2"/>
        <v>-15052.503760723861</v>
      </c>
      <c r="L68" s="72">
        <f t="shared" si="0"/>
        <v>1987</v>
      </c>
      <c r="N68" s="72">
        <f t="shared" si="1"/>
        <v>-437.5</v>
      </c>
    </row>
    <row r="69" spans="1:14" x14ac:dyDescent="0.3">
      <c r="A69" s="1"/>
      <c r="C69" s="100" t="s">
        <v>270</v>
      </c>
      <c r="F69" s="81"/>
      <c r="G69" s="65">
        <v>7741</v>
      </c>
      <c r="H69" s="70">
        <f t="shared" si="2"/>
        <v>-7311.503760723861</v>
      </c>
      <c r="L69" s="72">
        <f t="shared" si="0"/>
        <v>1987</v>
      </c>
      <c r="N69" s="72">
        <f t="shared" si="1"/>
        <v>-437.5</v>
      </c>
    </row>
    <row r="70" spans="1:14" x14ac:dyDescent="0.3">
      <c r="A70" s="1"/>
      <c r="C70" s="100" t="s">
        <v>219</v>
      </c>
      <c r="F70" s="81"/>
      <c r="G70" s="65">
        <v>1231</v>
      </c>
      <c r="H70" s="70">
        <f t="shared" si="2"/>
        <v>-6080.503760723861</v>
      </c>
      <c r="L70" s="72">
        <f t="shared" si="0"/>
        <v>1987</v>
      </c>
      <c r="N70" s="72">
        <f t="shared" si="1"/>
        <v>-437.5</v>
      </c>
    </row>
    <row r="71" spans="1:14" x14ac:dyDescent="0.3">
      <c r="A71" s="1"/>
      <c r="C71" s="100" t="s">
        <v>224</v>
      </c>
      <c r="E71" s="71"/>
      <c r="F71" s="80"/>
      <c r="G71" s="73"/>
      <c r="H71" s="70">
        <f t="shared" si="2"/>
        <v>-6080.503760723861</v>
      </c>
      <c r="K71">
        <v>1319</v>
      </c>
      <c r="L71" s="72">
        <f t="shared" si="0"/>
        <v>3306</v>
      </c>
      <c r="N71" s="72">
        <f t="shared" si="1"/>
        <v>-437.5</v>
      </c>
    </row>
    <row r="72" spans="1:14" x14ac:dyDescent="0.3">
      <c r="A72" s="1">
        <v>44943</v>
      </c>
      <c r="B72" s="123" t="s">
        <v>214</v>
      </c>
      <c r="C72" s="89" t="s">
        <v>216</v>
      </c>
      <c r="E72" s="64" t="s">
        <v>230</v>
      </c>
      <c r="F72" s="81"/>
      <c r="G72" s="65">
        <f>-305/14*2</f>
        <v>-43.571428571428569</v>
      </c>
      <c r="H72" s="70">
        <f t="shared" si="2"/>
        <v>-6124.0751892952894</v>
      </c>
      <c r="L72" s="72">
        <f t="shared" si="0"/>
        <v>3306</v>
      </c>
      <c r="N72" s="72">
        <f t="shared" si="1"/>
        <v>-437.5</v>
      </c>
    </row>
    <row r="73" spans="1:14" x14ac:dyDescent="0.3">
      <c r="A73" s="1">
        <v>44945</v>
      </c>
      <c r="B73" s="132" t="s">
        <v>217</v>
      </c>
      <c r="C73" s="89" t="s">
        <v>218</v>
      </c>
      <c r="F73" s="81"/>
      <c r="G73" s="65">
        <v>-6000</v>
      </c>
      <c r="H73" s="70">
        <f t="shared" si="2"/>
        <v>-12124.07518929529</v>
      </c>
      <c r="L73" s="72">
        <f t="shared" si="0"/>
        <v>3306</v>
      </c>
      <c r="N73" s="72">
        <f t="shared" si="1"/>
        <v>-437.5</v>
      </c>
    </row>
    <row r="74" spans="1:14" x14ac:dyDescent="0.3">
      <c r="A74" s="1">
        <v>44986</v>
      </c>
      <c r="B74" s="132" t="s">
        <v>222</v>
      </c>
      <c r="C74" s="89" t="s">
        <v>223</v>
      </c>
      <c r="F74" s="81"/>
      <c r="G74" s="65">
        <v>-4500</v>
      </c>
      <c r="H74" s="70">
        <f t="shared" si="2"/>
        <v>-16624.07518929529</v>
      </c>
      <c r="L74" s="72">
        <f t="shared" si="0"/>
        <v>3306</v>
      </c>
      <c r="N74" s="72">
        <f t="shared" si="1"/>
        <v>-437.5</v>
      </c>
    </row>
    <row r="75" spans="1:14" x14ac:dyDescent="0.3">
      <c r="A75" s="1">
        <v>44994</v>
      </c>
      <c r="B75" s="123" t="s">
        <v>233</v>
      </c>
      <c r="C75" s="89" t="s">
        <v>234</v>
      </c>
      <c r="D75" s="142" t="s">
        <v>235</v>
      </c>
      <c r="F75" s="81"/>
      <c r="G75" s="65">
        <f>-305/12*20</f>
        <v>-508.33333333333337</v>
      </c>
      <c r="H75" s="70">
        <f t="shared" si="2"/>
        <v>-17132.408522628622</v>
      </c>
      <c r="L75" s="72">
        <f t="shared" si="0"/>
        <v>3306</v>
      </c>
      <c r="N75" s="72">
        <f t="shared" si="1"/>
        <v>-437.5</v>
      </c>
    </row>
    <row r="76" spans="1:14" x14ac:dyDescent="0.3">
      <c r="A76" s="1">
        <v>45005</v>
      </c>
      <c r="B76" s="123" t="s">
        <v>236</v>
      </c>
      <c r="C76" s="89" t="s">
        <v>237</v>
      </c>
      <c r="D76" s="142" t="s">
        <v>235</v>
      </c>
      <c r="F76" s="81"/>
      <c r="G76" s="65">
        <f>-3100*2/400</f>
        <v>-15.5</v>
      </c>
      <c r="H76" s="70">
        <f t="shared" si="2"/>
        <v>-17147.908522628622</v>
      </c>
      <c r="L76" s="72">
        <f t="shared" si="0"/>
        <v>3306</v>
      </c>
      <c r="N76" s="72">
        <f t="shared" si="1"/>
        <v>-437.5</v>
      </c>
    </row>
    <row r="77" spans="1:14" x14ac:dyDescent="0.3">
      <c r="A77" s="1">
        <v>45008</v>
      </c>
      <c r="B77" s="123" t="s">
        <v>238</v>
      </c>
      <c r="C77" s="89" t="s">
        <v>239</v>
      </c>
      <c r="D77" s="142" t="s">
        <v>117</v>
      </c>
      <c r="F77" s="81">
        <v>400</v>
      </c>
      <c r="G77" s="65">
        <f>-150000/F77</f>
        <v>-375</v>
      </c>
      <c r="H77" s="70">
        <f t="shared" si="2"/>
        <v>-17522.908522628622</v>
      </c>
      <c r="L77" s="72">
        <f t="shared" si="0"/>
        <v>3306</v>
      </c>
      <c r="N77" s="72">
        <f t="shared" si="1"/>
        <v>-437.5</v>
      </c>
    </row>
    <row r="78" spans="1:14" x14ac:dyDescent="0.3">
      <c r="A78" s="1">
        <v>45013</v>
      </c>
      <c r="B78" s="123" t="s">
        <v>240</v>
      </c>
      <c r="C78" s="100" t="s">
        <v>250</v>
      </c>
      <c r="D78" s="142" t="s">
        <v>117</v>
      </c>
      <c r="F78" s="81"/>
      <c r="G78" s="65">
        <v>10091</v>
      </c>
      <c r="H78" s="70">
        <f t="shared" si="2"/>
        <v>-7431.9085226286224</v>
      </c>
      <c r="K78">
        <v>297</v>
      </c>
      <c r="L78" s="72">
        <f t="shared" si="0"/>
        <v>3603</v>
      </c>
      <c r="N78" s="72">
        <f t="shared" si="1"/>
        <v>-437.5</v>
      </c>
    </row>
    <row r="79" spans="1:14" x14ac:dyDescent="0.3">
      <c r="A79" s="1">
        <v>45019</v>
      </c>
      <c r="B79" s="123" t="s">
        <v>241</v>
      </c>
      <c r="C79" s="89" t="s">
        <v>242</v>
      </c>
      <c r="D79" s="142" t="s">
        <v>145</v>
      </c>
      <c r="F79" s="81"/>
      <c r="G79" s="65">
        <f>-305/12*3</f>
        <v>-76.25</v>
      </c>
      <c r="H79" s="70">
        <f t="shared" si="2"/>
        <v>-7508.1585226286224</v>
      </c>
      <c r="L79" s="72">
        <f t="shared" si="0"/>
        <v>3603</v>
      </c>
      <c r="N79" s="72">
        <f t="shared" si="1"/>
        <v>-437.5</v>
      </c>
    </row>
    <row r="80" spans="1:14" x14ac:dyDescent="0.3">
      <c r="A80" s="1">
        <v>45012</v>
      </c>
      <c r="B80" s="132" t="s">
        <v>243</v>
      </c>
      <c r="C80" s="89" t="s">
        <v>244</v>
      </c>
      <c r="F80" s="81"/>
      <c r="G80" s="65">
        <v>-6000</v>
      </c>
      <c r="H80" s="70">
        <f t="shared" si="2"/>
        <v>-13508.158522628622</v>
      </c>
      <c r="L80" s="72">
        <f t="shared" si="0"/>
        <v>3603</v>
      </c>
      <c r="N80" s="72">
        <f t="shared" si="1"/>
        <v>-437.5</v>
      </c>
    </row>
    <row r="81" spans="1:15" x14ac:dyDescent="0.3">
      <c r="A81" s="1">
        <v>45030</v>
      </c>
      <c r="B81" s="123" t="s">
        <v>245</v>
      </c>
      <c r="C81" s="100" t="s">
        <v>246</v>
      </c>
      <c r="D81" s="142" t="s">
        <v>117</v>
      </c>
      <c r="F81" s="81"/>
      <c r="H81" s="70">
        <f t="shared" ref="H81:H83" si="3">H80+G81</f>
        <v>-13508.158522628622</v>
      </c>
      <c r="L81" s="72">
        <f t="shared" ref="L81:L83" si="4">L80+K81</f>
        <v>3603</v>
      </c>
      <c r="M81" s="57">
        <v>443</v>
      </c>
      <c r="N81" s="72">
        <f t="shared" ref="N81:N82" si="5">M81+N80</f>
        <v>5.5</v>
      </c>
    </row>
    <row r="82" spans="1:15" x14ac:dyDescent="0.3">
      <c r="A82" s="1">
        <v>45057</v>
      </c>
      <c r="B82" s="123" t="s">
        <v>247</v>
      </c>
      <c r="C82" s="100" t="s">
        <v>265</v>
      </c>
      <c r="D82" s="142" t="s">
        <v>117</v>
      </c>
      <c r="F82" s="81"/>
      <c r="G82" s="65">
        <v>3564</v>
      </c>
      <c r="H82" s="70">
        <f t="shared" si="3"/>
        <v>-9944.1585226286224</v>
      </c>
      <c r="K82">
        <v>6097</v>
      </c>
      <c r="L82" s="72">
        <f t="shared" si="4"/>
        <v>9700</v>
      </c>
      <c r="N82" s="72">
        <f t="shared" si="5"/>
        <v>5.5</v>
      </c>
    </row>
    <row r="83" spans="1:15" x14ac:dyDescent="0.3">
      <c r="A83" s="1"/>
      <c r="C83" s="100" t="s">
        <v>268</v>
      </c>
      <c r="F83" s="81"/>
      <c r="G83" s="65">
        <v>6062</v>
      </c>
      <c r="H83" s="70">
        <f t="shared" si="3"/>
        <v>-3882.1585226286224</v>
      </c>
      <c r="K83">
        <v>-9700</v>
      </c>
      <c r="L83" s="72">
        <f t="shared" si="4"/>
        <v>0</v>
      </c>
      <c r="O83" t="s">
        <v>269</v>
      </c>
    </row>
    <row r="84" spans="1:15" x14ac:dyDescent="0.3">
      <c r="A84" s="82"/>
      <c r="B84" s="129"/>
      <c r="C84" s="103"/>
      <c r="D84" s="145"/>
      <c r="E84" s="66"/>
      <c r="F84" s="83"/>
      <c r="G84" s="68"/>
      <c r="H84" s="84"/>
      <c r="I84" s="85"/>
      <c r="J84" s="36"/>
      <c r="K84" s="36"/>
      <c r="L84" s="86"/>
    </row>
    <row r="85" spans="1:15" ht="21.6" thickBot="1" x14ac:dyDescent="0.45">
      <c r="A85" s="42" t="s">
        <v>99</v>
      </c>
      <c r="B85" s="130"/>
      <c r="F85" s="81"/>
      <c r="H85" s="70"/>
    </row>
    <row r="86" spans="1:15" ht="15" thickBot="1" x14ac:dyDescent="0.35">
      <c r="A86" s="40" t="s">
        <v>100</v>
      </c>
      <c r="B86" s="131" t="s">
        <v>101</v>
      </c>
      <c r="C86" s="99" t="s">
        <v>102</v>
      </c>
      <c r="D86" s="146" t="s">
        <v>103</v>
      </c>
      <c r="E86" s="104" t="s">
        <v>297</v>
      </c>
      <c r="F86" s="105" t="s">
        <v>298</v>
      </c>
      <c r="G86" s="106" t="s">
        <v>299</v>
      </c>
      <c r="H86" s="70"/>
    </row>
    <row r="87" spans="1:15" x14ac:dyDescent="0.3">
      <c r="A87" s="1"/>
      <c r="C87" s="100" t="s">
        <v>283</v>
      </c>
      <c r="E87" s="87"/>
      <c r="F87" s="78">
        <v>-3882</v>
      </c>
      <c r="G87" s="46">
        <f>F87</f>
        <v>-3882</v>
      </c>
      <c r="H87" s="70"/>
    </row>
    <row r="88" spans="1:15" x14ac:dyDescent="0.3">
      <c r="A88" s="1">
        <v>45065</v>
      </c>
      <c r="B88" s="123" t="s">
        <v>248</v>
      </c>
      <c r="C88" s="89" t="s">
        <v>255</v>
      </c>
      <c r="D88" s="142" t="s">
        <v>117</v>
      </c>
      <c r="E88" s="87">
        <v>405</v>
      </c>
      <c r="F88" s="78">
        <f>-200000/E88</f>
        <v>-493.82716049382714</v>
      </c>
      <c r="G88" s="46">
        <f>G87+F88</f>
        <v>-4375.8271604938273</v>
      </c>
      <c r="H88" s="70"/>
    </row>
    <row r="89" spans="1:15" x14ac:dyDescent="0.3">
      <c r="A89" s="1">
        <v>45077</v>
      </c>
      <c r="B89" s="123" t="s">
        <v>249</v>
      </c>
      <c r="C89" s="89" t="s">
        <v>253</v>
      </c>
      <c r="D89" s="142" t="s">
        <v>117</v>
      </c>
      <c r="E89" s="87">
        <v>405</v>
      </c>
      <c r="F89" s="78">
        <f>-100000/E89</f>
        <v>-246.91358024691357</v>
      </c>
      <c r="G89" s="46">
        <f t="shared" ref="G89:G115" si="6">G88+F89</f>
        <v>-4622.7407407407409</v>
      </c>
      <c r="H89" s="70"/>
    </row>
    <row r="90" spans="1:15" x14ac:dyDescent="0.3">
      <c r="A90" s="1">
        <v>45078</v>
      </c>
      <c r="B90" s="123" t="s">
        <v>252</v>
      </c>
      <c r="C90" s="89" t="s">
        <v>254</v>
      </c>
      <c r="D90" s="142" t="s">
        <v>78</v>
      </c>
      <c r="E90" s="87">
        <v>405</v>
      </c>
      <c r="F90" s="78">
        <f>-300000/E90</f>
        <v>-740.74074074074076</v>
      </c>
      <c r="G90" s="46">
        <f t="shared" si="6"/>
        <v>-5363.4814814814818</v>
      </c>
      <c r="H90" s="70"/>
    </row>
    <row r="91" spans="1:15" x14ac:dyDescent="0.3">
      <c r="A91" s="1">
        <v>45086</v>
      </c>
      <c r="B91" s="123" t="s">
        <v>251</v>
      </c>
      <c r="C91" s="89" t="s">
        <v>255</v>
      </c>
      <c r="D91" s="142" t="s">
        <v>78</v>
      </c>
      <c r="E91" s="87">
        <v>405</v>
      </c>
      <c r="F91" s="78">
        <f>-200000/E91</f>
        <v>-493.82716049382714</v>
      </c>
      <c r="G91" s="46">
        <f t="shared" si="6"/>
        <v>-5857.308641975309</v>
      </c>
      <c r="H91" s="70"/>
    </row>
    <row r="92" spans="1:15" x14ac:dyDescent="0.3">
      <c r="A92" s="1">
        <v>45092</v>
      </c>
      <c r="B92" s="123" t="s">
        <v>256</v>
      </c>
      <c r="C92" s="89" t="s">
        <v>255</v>
      </c>
      <c r="D92" s="142" t="s">
        <v>78</v>
      </c>
      <c r="E92" s="87">
        <v>430</v>
      </c>
      <c r="F92" s="78">
        <f>-200000/E92</f>
        <v>-465.11627906976742</v>
      </c>
      <c r="G92" s="46">
        <f t="shared" si="6"/>
        <v>-6322.4249210450762</v>
      </c>
      <c r="H92" s="70"/>
    </row>
    <row r="93" spans="1:15" ht="15" thickBot="1" x14ac:dyDescent="0.35">
      <c r="A93" s="1">
        <v>45099</v>
      </c>
      <c r="B93" s="123" t="s">
        <v>257</v>
      </c>
      <c r="C93" s="89" t="s">
        <v>255</v>
      </c>
      <c r="D93" s="142" t="s">
        <v>78</v>
      </c>
      <c r="E93" s="87">
        <v>430</v>
      </c>
      <c r="F93" s="78">
        <f>-200000/E93</f>
        <v>-465.11627906976742</v>
      </c>
      <c r="G93" s="46">
        <f t="shared" si="6"/>
        <v>-6787.5412001148434</v>
      </c>
      <c r="H93" s="70"/>
    </row>
    <row r="94" spans="1:15" x14ac:dyDescent="0.3">
      <c r="A94" s="34">
        <v>45105</v>
      </c>
      <c r="B94" s="124" t="s">
        <v>258</v>
      </c>
      <c r="C94" s="97" t="s">
        <v>264</v>
      </c>
      <c r="D94" s="142" t="s">
        <v>259</v>
      </c>
      <c r="E94" s="87"/>
      <c r="F94" s="78"/>
      <c r="G94" s="46">
        <f t="shared" si="6"/>
        <v>-6787.5412001148434</v>
      </c>
    </row>
    <row r="95" spans="1:15" ht="15" thickBot="1" x14ac:dyDescent="0.35">
      <c r="A95" s="35">
        <v>45112</v>
      </c>
      <c r="B95" s="128" t="s">
        <v>261</v>
      </c>
      <c r="C95" s="96" t="s">
        <v>262</v>
      </c>
      <c r="E95" s="87"/>
      <c r="F95" s="78"/>
      <c r="G95" s="46">
        <f t="shared" si="6"/>
        <v>-6787.5412001148434</v>
      </c>
    </row>
    <row r="96" spans="1:15" x14ac:dyDescent="0.3">
      <c r="A96" s="1">
        <v>45107</v>
      </c>
      <c r="B96" s="123" t="s">
        <v>260</v>
      </c>
      <c r="C96" s="89" t="s">
        <v>255</v>
      </c>
      <c r="D96" s="142" t="s">
        <v>78</v>
      </c>
      <c r="E96" s="87">
        <v>430</v>
      </c>
      <c r="F96" s="78">
        <f>-200000/E96</f>
        <v>-465.11627906976742</v>
      </c>
      <c r="G96" s="46">
        <f t="shared" si="6"/>
        <v>-7252.6574791846106</v>
      </c>
    </row>
    <row r="97" spans="1:7" x14ac:dyDescent="0.3">
      <c r="A97" s="1">
        <v>45112</v>
      </c>
      <c r="B97" s="132" t="s">
        <v>261</v>
      </c>
      <c r="C97" s="89" t="s">
        <v>266</v>
      </c>
      <c r="E97" s="87">
        <v>510</v>
      </c>
      <c r="F97" s="78">
        <f>-144500/E97</f>
        <v>-283.33333333333331</v>
      </c>
      <c r="G97" s="46">
        <f t="shared" si="6"/>
        <v>-7535.9908125179436</v>
      </c>
    </row>
    <row r="98" spans="1:7" x14ac:dyDescent="0.3">
      <c r="A98" s="1">
        <v>45119</v>
      </c>
      <c r="B98" s="132" t="s">
        <v>263</v>
      </c>
      <c r="C98" s="89" t="s">
        <v>267</v>
      </c>
      <c r="E98" s="87">
        <v>510</v>
      </c>
      <c r="F98" s="78">
        <f>-600000/E98</f>
        <v>-1176.4705882352941</v>
      </c>
      <c r="G98" s="46">
        <f t="shared" si="6"/>
        <v>-8712.4614007532382</v>
      </c>
    </row>
    <row r="99" spans="1:7" x14ac:dyDescent="0.3">
      <c r="A99" s="1">
        <v>45121</v>
      </c>
      <c r="B99" s="123" t="s">
        <v>271</v>
      </c>
      <c r="C99" s="89" t="s">
        <v>272</v>
      </c>
      <c r="D99" s="142" t="s">
        <v>78</v>
      </c>
      <c r="E99" s="87"/>
      <c r="F99" s="78">
        <f>-4800*100/1300</f>
        <v>-369.23076923076923</v>
      </c>
      <c r="G99" s="46">
        <f t="shared" si="6"/>
        <v>-9081.6921699840077</v>
      </c>
    </row>
    <row r="100" spans="1:7" x14ac:dyDescent="0.3">
      <c r="A100" s="1">
        <v>45134</v>
      </c>
      <c r="B100" s="132" t="s">
        <v>273</v>
      </c>
      <c r="C100" s="89" t="s">
        <v>274</v>
      </c>
      <c r="E100" s="87">
        <v>520</v>
      </c>
      <c r="F100" s="78">
        <f>-600000/E100</f>
        <v>-1153.8461538461538</v>
      </c>
      <c r="G100" s="46">
        <f t="shared" si="6"/>
        <v>-10235.538323830162</v>
      </c>
    </row>
    <row r="101" spans="1:7" x14ac:dyDescent="0.3">
      <c r="A101" s="1">
        <v>45148</v>
      </c>
      <c r="B101" s="132" t="s">
        <v>275</v>
      </c>
      <c r="C101" s="89" t="s">
        <v>276</v>
      </c>
      <c r="E101" s="87">
        <v>520</v>
      </c>
      <c r="F101" s="78">
        <f>-1000000/E101</f>
        <v>-1923.0769230769231</v>
      </c>
      <c r="G101" s="46">
        <f t="shared" si="6"/>
        <v>-12158.615246907086</v>
      </c>
    </row>
    <row r="102" spans="1:7" x14ac:dyDescent="0.3">
      <c r="A102" s="1">
        <v>45155</v>
      </c>
      <c r="B102" s="123" t="s">
        <v>277</v>
      </c>
      <c r="C102" s="89" t="s">
        <v>301</v>
      </c>
      <c r="E102" s="87"/>
      <c r="F102" s="78">
        <f>-45000/1300</f>
        <v>-34.615384615384613</v>
      </c>
      <c r="G102" s="46">
        <f t="shared" si="6"/>
        <v>-12193.230631522471</v>
      </c>
    </row>
    <row r="103" spans="1:7" x14ac:dyDescent="0.3">
      <c r="A103" s="1">
        <v>45155</v>
      </c>
      <c r="B103" s="123" t="s">
        <v>277</v>
      </c>
      <c r="C103" s="89" t="s">
        <v>300</v>
      </c>
      <c r="E103" s="87"/>
      <c r="F103" s="78">
        <f>-294*320/550</f>
        <v>-171.05454545454546</v>
      </c>
      <c r="G103" s="46">
        <f t="shared" si="6"/>
        <v>-12364.285176977017</v>
      </c>
    </row>
    <row r="104" spans="1:7" x14ac:dyDescent="0.3">
      <c r="A104" s="1">
        <v>45169</v>
      </c>
      <c r="B104" s="132" t="s">
        <v>278</v>
      </c>
      <c r="C104" s="89" t="s">
        <v>279</v>
      </c>
      <c r="E104" s="87">
        <v>620</v>
      </c>
      <c r="F104" s="78">
        <f>-1500000/E104</f>
        <v>-2419.3548387096776</v>
      </c>
      <c r="G104" s="46">
        <f t="shared" si="6"/>
        <v>-14783.640015686695</v>
      </c>
    </row>
    <row r="105" spans="1:7" x14ac:dyDescent="0.3">
      <c r="A105" s="1">
        <v>45183</v>
      </c>
      <c r="B105" s="132" t="s">
        <v>280</v>
      </c>
      <c r="C105" s="89" t="s">
        <v>279</v>
      </c>
      <c r="E105" s="87">
        <v>630</v>
      </c>
      <c r="F105" s="78">
        <f>-1500000/E105</f>
        <v>-2380.9523809523807</v>
      </c>
      <c r="G105" s="46">
        <f t="shared" si="6"/>
        <v>-17164.592396639076</v>
      </c>
    </row>
    <row r="106" spans="1:7" x14ac:dyDescent="0.3">
      <c r="A106" s="1">
        <v>45208</v>
      </c>
      <c r="B106" s="132" t="s">
        <v>281</v>
      </c>
      <c r="C106" s="89" t="s">
        <v>282</v>
      </c>
      <c r="E106" s="87">
        <v>650</v>
      </c>
      <c r="F106" s="78">
        <f>-1500000/E106</f>
        <v>-2307.6923076923076</v>
      </c>
      <c r="G106" s="46">
        <f t="shared" si="6"/>
        <v>-19472.284704331385</v>
      </c>
    </row>
    <row r="107" spans="1:7" x14ac:dyDescent="0.3">
      <c r="A107" s="1">
        <v>45225</v>
      </c>
      <c r="B107" s="132" t="s">
        <v>284</v>
      </c>
      <c r="C107" s="89" t="s">
        <v>285</v>
      </c>
      <c r="E107" s="87">
        <v>650</v>
      </c>
      <c r="F107" s="78">
        <f>-1000000/E107</f>
        <v>-1538.4615384615386</v>
      </c>
      <c r="G107" s="46">
        <f t="shared" si="6"/>
        <v>-21010.746242792924</v>
      </c>
    </row>
    <row r="108" spans="1:7" x14ac:dyDescent="0.3">
      <c r="A108" s="1">
        <v>45247</v>
      </c>
      <c r="B108" s="123" t="s">
        <v>286</v>
      </c>
      <c r="C108" s="89" t="s">
        <v>287</v>
      </c>
      <c r="E108" s="87">
        <v>800</v>
      </c>
      <c r="F108" s="78">
        <f>-500000/E108</f>
        <v>-625</v>
      </c>
      <c r="G108" s="46">
        <f t="shared" si="6"/>
        <v>-21635.746242792924</v>
      </c>
    </row>
    <row r="109" spans="1:7" x14ac:dyDescent="0.3">
      <c r="A109" s="1">
        <v>45247</v>
      </c>
      <c r="B109" s="123" t="s">
        <v>286</v>
      </c>
      <c r="C109" s="89" t="s">
        <v>288</v>
      </c>
      <c r="E109" s="87" t="s">
        <v>303</v>
      </c>
      <c r="F109" s="78">
        <f>-305/10*40</f>
        <v>-1220</v>
      </c>
      <c r="G109" s="46">
        <f t="shared" si="6"/>
        <v>-22855.746242792924</v>
      </c>
    </row>
    <row r="110" spans="1:7" x14ac:dyDescent="0.3">
      <c r="A110" s="1">
        <v>45253</v>
      </c>
      <c r="B110" s="123" t="s">
        <v>289</v>
      </c>
      <c r="C110" s="100" t="s">
        <v>290</v>
      </c>
      <c r="E110" s="87" t="s">
        <v>304</v>
      </c>
      <c r="F110" s="43">
        <f>5933*800/1000</f>
        <v>4746.3999999999996</v>
      </c>
      <c r="G110" s="46">
        <f t="shared" si="6"/>
        <v>-18109.346242792926</v>
      </c>
    </row>
    <row r="111" spans="1:7" x14ac:dyDescent="0.3">
      <c r="A111" s="1">
        <v>45253</v>
      </c>
      <c r="B111" s="123" t="s">
        <v>289</v>
      </c>
      <c r="C111" s="89" t="s">
        <v>288</v>
      </c>
      <c r="E111" s="87" t="s">
        <v>303</v>
      </c>
      <c r="F111" s="78">
        <f>-305/10*40</f>
        <v>-1220</v>
      </c>
      <c r="G111" s="46">
        <f t="shared" si="6"/>
        <v>-19329.346242792926</v>
      </c>
    </row>
    <row r="112" spans="1:7" x14ac:dyDescent="0.3">
      <c r="A112" s="1">
        <v>45254</v>
      </c>
      <c r="B112" s="132" t="s">
        <v>291</v>
      </c>
      <c r="C112" s="89" t="s">
        <v>292</v>
      </c>
      <c r="E112" s="87"/>
      <c r="F112" s="43">
        <f>-3000*1000/800</f>
        <v>-3750</v>
      </c>
      <c r="G112" s="46">
        <f t="shared" si="6"/>
        <v>-23079.346242792926</v>
      </c>
    </row>
    <row r="113" spans="1:9" x14ac:dyDescent="0.3">
      <c r="A113" s="1">
        <v>45259</v>
      </c>
      <c r="B113" s="123" t="s">
        <v>293</v>
      </c>
      <c r="C113" s="100" t="s">
        <v>302</v>
      </c>
      <c r="E113" s="87" t="s">
        <v>304</v>
      </c>
      <c r="F113" s="43">
        <f>5814*800/1000</f>
        <v>4651.2</v>
      </c>
      <c r="G113" s="46">
        <f t="shared" si="6"/>
        <v>-18428.146242792925</v>
      </c>
    </row>
    <row r="114" spans="1:9" x14ac:dyDescent="0.3">
      <c r="A114" s="1">
        <v>45259</v>
      </c>
      <c r="B114" s="123" t="s">
        <v>293</v>
      </c>
      <c r="C114" s="89" t="s">
        <v>294</v>
      </c>
      <c r="E114" s="87" t="s">
        <v>303</v>
      </c>
      <c r="F114" s="43">
        <f>-305/10*25</f>
        <v>-762.5</v>
      </c>
      <c r="G114" s="46">
        <f t="shared" si="6"/>
        <v>-19190.646242792925</v>
      </c>
    </row>
    <row r="115" spans="1:9" x14ac:dyDescent="0.3">
      <c r="A115" s="1">
        <v>45316</v>
      </c>
      <c r="B115" s="123" t="s">
        <v>295</v>
      </c>
      <c r="C115" s="89" t="s">
        <v>296</v>
      </c>
      <c r="E115" s="87" t="s">
        <v>303</v>
      </c>
      <c r="F115" s="43">
        <f>-305/10*20</f>
        <v>-610</v>
      </c>
      <c r="G115" s="46">
        <f t="shared" si="6"/>
        <v>-19800.646242792925</v>
      </c>
    </row>
    <row r="116" spans="1:9" ht="21" x14ac:dyDescent="0.4">
      <c r="A116" s="42" t="s">
        <v>99</v>
      </c>
      <c r="B116" s="130"/>
      <c r="E116" s="87"/>
      <c r="G116" s="46"/>
    </row>
    <row r="117" spans="1:9" x14ac:dyDescent="0.3">
      <c r="A117" s="82"/>
      <c r="B117" s="129"/>
      <c r="C117" s="98"/>
      <c r="D117" s="145"/>
      <c r="E117" s="107"/>
      <c r="F117" s="67"/>
      <c r="G117" s="108"/>
      <c r="H117" s="68"/>
      <c r="I117" s="57" t="s">
        <v>226</v>
      </c>
    </row>
    <row r="118" spans="1:9" x14ac:dyDescent="0.3">
      <c r="A118" s="1"/>
      <c r="C118" s="89" t="s">
        <v>307</v>
      </c>
      <c r="E118" s="87"/>
      <c r="G118" s="46">
        <v>-19801</v>
      </c>
    </row>
    <row r="119" spans="1:9" x14ac:dyDescent="0.3">
      <c r="A119" s="1">
        <v>45316</v>
      </c>
      <c r="B119" s="123" t="s">
        <v>308</v>
      </c>
      <c r="C119" s="89" t="s">
        <v>305</v>
      </c>
      <c r="E119" s="110"/>
      <c r="G119" s="46">
        <f>G118+F119</f>
        <v>-19801</v>
      </c>
    </row>
    <row r="120" spans="1:9" x14ac:dyDescent="0.3">
      <c r="A120" s="1">
        <v>45316</v>
      </c>
      <c r="B120" s="123" t="s">
        <v>308</v>
      </c>
      <c r="C120" s="89" t="s">
        <v>306</v>
      </c>
      <c r="E120" s="110"/>
      <c r="G120" s="46">
        <f t="shared" ref="G120:G169" si="7">G119+F120</f>
        <v>-19801</v>
      </c>
    </row>
    <row r="121" spans="1:9" x14ac:dyDescent="0.3">
      <c r="A121" s="1">
        <v>45318</v>
      </c>
      <c r="B121" s="123" t="s">
        <v>314</v>
      </c>
      <c r="C121" s="89" t="s">
        <v>315</v>
      </c>
      <c r="E121" s="87" t="s">
        <v>332</v>
      </c>
      <c r="F121" s="43">
        <f>-305/10*50</f>
        <v>-1525</v>
      </c>
      <c r="G121" s="46">
        <f>G120+F121</f>
        <v>-21326</v>
      </c>
    </row>
    <row r="122" spans="1:9" x14ac:dyDescent="0.3">
      <c r="A122" s="1">
        <v>45321</v>
      </c>
      <c r="B122" s="132" t="s">
        <v>309</v>
      </c>
      <c r="C122" s="89" t="s">
        <v>310</v>
      </c>
      <c r="F122" s="43">
        <v>-4500</v>
      </c>
      <c r="G122" s="46">
        <f t="shared" si="7"/>
        <v>-25826</v>
      </c>
    </row>
    <row r="123" spans="1:9" x14ac:dyDescent="0.3">
      <c r="A123" s="1">
        <v>45327</v>
      </c>
      <c r="B123" s="123" t="s">
        <v>313</v>
      </c>
      <c r="C123" s="100" t="s">
        <v>372</v>
      </c>
      <c r="F123" s="78">
        <f>1493*1400/1700+8911</f>
        <v>10140.529411764706</v>
      </c>
      <c r="G123" s="46">
        <f t="shared" si="7"/>
        <v>-15685.470588235294</v>
      </c>
    </row>
    <row r="124" spans="1:9" x14ac:dyDescent="0.3">
      <c r="A124" s="1">
        <v>45330</v>
      </c>
      <c r="B124" s="132" t="s">
        <v>311</v>
      </c>
      <c r="C124" s="89" t="s">
        <v>312</v>
      </c>
      <c r="F124" s="43">
        <v>-1500</v>
      </c>
      <c r="G124" s="46">
        <f t="shared" si="7"/>
        <v>-17185.470588235294</v>
      </c>
    </row>
    <row r="125" spans="1:9" ht="15" thickBot="1" x14ac:dyDescent="0.35">
      <c r="A125" s="1">
        <v>45336</v>
      </c>
      <c r="B125" s="123" t="s">
        <v>316</v>
      </c>
      <c r="C125" s="89" t="s">
        <v>342</v>
      </c>
      <c r="E125" s="87" t="s">
        <v>332</v>
      </c>
      <c r="F125" s="43">
        <v>-305</v>
      </c>
      <c r="G125" s="46">
        <f t="shared" si="7"/>
        <v>-17490.470588235294</v>
      </c>
    </row>
    <row r="126" spans="1:9" x14ac:dyDescent="0.3">
      <c r="A126" s="34">
        <v>45369</v>
      </c>
      <c r="B126" s="124" t="s">
        <v>317</v>
      </c>
      <c r="C126" s="97" t="s">
        <v>318</v>
      </c>
      <c r="G126" s="46">
        <f t="shared" si="7"/>
        <v>-17490.470588235294</v>
      </c>
    </row>
    <row r="127" spans="1:9" ht="15" thickBot="1" x14ac:dyDescent="0.35">
      <c r="A127" s="35">
        <v>45376</v>
      </c>
      <c r="B127" s="134" t="s">
        <v>323</v>
      </c>
      <c r="C127" s="109" t="s">
        <v>324</v>
      </c>
      <c r="G127" s="46">
        <f t="shared" si="7"/>
        <v>-17490.470588235294</v>
      </c>
    </row>
    <row r="128" spans="1:9" x14ac:dyDescent="0.3">
      <c r="A128" s="1">
        <v>45359</v>
      </c>
      <c r="B128" s="132" t="s">
        <v>319</v>
      </c>
      <c r="C128" s="89" t="s">
        <v>320</v>
      </c>
      <c r="F128" s="43">
        <v>-3000</v>
      </c>
      <c r="G128" s="46">
        <f t="shared" si="7"/>
        <v>-20490.470588235294</v>
      </c>
    </row>
    <row r="129" spans="1:14" s="112" customFormat="1" x14ac:dyDescent="0.3">
      <c r="A129" s="111">
        <v>45378</v>
      </c>
      <c r="B129" s="135" t="s">
        <v>321</v>
      </c>
      <c r="C129" s="113" t="s">
        <v>322</v>
      </c>
      <c r="D129" s="152"/>
      <c r="E129" s="114" t="s">
        <v>332</v>
      </c>
      <c r="F129" s="43">
        <f>-305/10*17</f>
        <v>-518.5</v>
      </c>
      <c r="G129" s="46">
        <f t="shared" si="7"/>
        <v>-21008.970588235294</v>
      </c>
      <c r="H129" s="115"/>
      <c r="I129" s="116"/>
      <c r="L129" s="117"/>
      <c r="M129" s="116"/>
      <c r="N129" s="117"/>
    </row>
    <row r="130" spans="1:14" x14ac:dyDescent="0.3">
      <c r="A130" s="1">
        <v>45387</v>
      </c>
      <c r="B130" s="132" t="s">
        <v>327</v>
      </c>
      <c r="C130" s="89" t="s">
        <v>325</v>
      </c>
      <c r="F130" s="43">
        <v>-2400</v>
      </c>
      <c r="G130" s="46">
        <f t="shared" si="7"/>
        <v>-23408.970588235294</v>
      </c>
    </row>
    <row r="131" spans="1:14" x14ac:dyDescent="0.3">
      <c r="A131" s="1">
        <v>45414</v>
      </c>
      <c r="B131" s="132" t="s">
        <v>326</v>
      </c>
      <c r="C131" s="89" t="s">
        <v>328</v>
      </c>
      <c r="F131" s="43">
        <v>-1800</v>
      </c>
      <c r="G131" s="46">
        <f t="shared" si="7"/>
        <v>-25208.970588235294</v>
      </c>
    </row>
    <row r="132" spans="1:14" x14ac:dyDescent="0.3">
      <c r="A132" s="1">
        <v>45428</v>
      </c>
      <c r="B132" s="132" t="s">
        <v>329</v>
      </c>
      <c r="C132" s="89" t="s">
        <v>330</v>
      </c>
      <c r="F132" s="43">
        <v>-1200</v>
      </c>
      <c r="G132" s="46">
        <f t="shared" si="7"/>
        <v>-26408.970588235294</v>
      </c>
    </row>
    <row r="133" spans="1:14" x14ac:dyDescent="0.3">
      <c r="A133" s="1">
        <v>45477</v>
      </c>
      <c r="B133" s="132" t="s">
        <v>331</v>
      </c>
      <c r="C133" s="89" t="s">
        <v>343</v>
      </c>
      <c r="F133" s="43">
        <v>-2100</v>
      </c>
      <c r="G133" s="46">
        <f t="shared" si="7"/>
        <v>-28508.970588235294</v>
      </c>
    </row>
    <row r="134" spans="1:14" x14ac:dyDescent="0.3">
      <c r="A134" s="1">
        <v>45509</v>
      </c>
      <c r="B134" s="123" t="s">
        <v>333</v>
      </c>
      <c r="C134" s="101" t="s">
        <v>334</v>
      </c>
      <c r="D134" s="157">
        <f>1800*1465</f>
        <v>2637000</v>
      </c>
      <c r="G134" s="46">
        <f t="shared" si="7"/>
        <v>-28508.970588235294</v>
      </c>
    </row>
    <row r="135" spans="1:14" x14ac:dyDescent="0.3">
      <c r="A135" s="1">
        <v>45519</v>
      </c>
      <c r="B135" s="123" t="s">
        <v>335</v>
      </c>
      <c r="C135" s="101" t="s">
        <v>336</v>
      </c>
      <c r="D135" s="158">
        <f>3600*1465</f>
        <v>5274000</v>
      </c>
      <c r="G135" s="46">
        <f t="shared" si="7"/>
        <v>-28508.970588235294</v>
      </c>
    </row>
    <row r="136" spans="1:14" x14ac:dyDescent="0.3">
      <c r="A136" s="1">
        <v>45540</v>
      </c>
      <c r="B136" s="123" t="s">
        <v>337</v>
      </c>
      <c r="C136" s="101" t="s">
        <v>336</v>
      </c>
      <c r="D136" s="157">
        <f>3600*1465</f>
        <v>5274000</v>
      </c>
      <c r="G136" s="46">
        <f t="shared" si="7"/>
        <v>-28508.970588235294</v>
      </c>
    </row>
    <row r="137" spans="1:14" x14ac:dyDescent="0.3">
      <c r="A137" s="1">
        <v>45573</v>
      </c>
      <c r="B137" s="123" t="s">
        <v>338</v>
      </c>
      <c r="C137" s="89" t="s">
        <v>370</v>
      </c>
      <c r="D137" s="157"/>
      <c r="F137" s="78">
        <f>6876*1700/1900+7213</f>
        <v>13365.21052631579</v>
      </c>
      <c r="G137" s="46">
        <f t="shared" si="7"/>
        <v>-15143.760061919504</v>
      </c>
    </row>
    <row r="138" spans="1:14" x14ac:dyDescent="0.3">
      <c r="A138" s="1">
        <v>45573</v>
      </c>
      <c r="B138" s="123" t="s">
        <v>338</v>
      </c>
      <c r="C138" s="89" t="s">
        <v>339</v>
      </c>
      <c r="D138" s="157"/>
      <c r="E138" s="64" t="s">
        <v>373</v>
      </c>
      <c r="F138" s="78">
        <f>-305/12*100</f>
        <v>-2541.666666666667</v>
      </c>
      <c r="G138" s="46">
        <f t="shared" si="7"/>
        <v>-17685.426728586172</v>
      </c>
    </row>
    <row r="139" spans="1:14" ht="15" thickBot="1" x14ac:dyDescent="0.35">
      <c r="A139" s="1">
        <v>45653</v>
      </c>
      <c r="B139" s="123" t="s">
        <v>340</v>
      </c>
      <c r="C139" s="101" t="s">
        <v>341</v>
      </c>
      <c r="D139" s="157">
        <f>10500*1465</f>
        <v>15382500</v>
      </c>
      <c r="G139" s="46">
        <f t="shared" si="7"/>
        <v>-17685.426728586172</v>
      </c>
    </row>
    <row r="140" spans="1:14" x14ac:dyDescent="0.3">
      <c r="A140" s="118">
        <v>45709</v>
      </c>
      <c r="B140" s="136" t="s">
        <v>344</v>
      </c>
      <c r="C140" s="90" t="s">
        <v>345</v>
      </c>
      <c r="G140" s="46">
        <f t="shared" si="7"/>
        <v>-17685.426728586172</v>
      </c>
    </row>
    <row r="141" spans="1:14" x14ac:dyDescent="0.3">
      <c r="A141" s="118">
        <v>45721</v>
      </c>
      <c r="B141" s="137" t="s">
        <v>346</v>
      </c>
      <c r="C141" s="121" t="s">
        <v>347</v>
      </c>
      <c r="G141" s="46">
        <f t="shared" si="7"/>
        <v>-17685.426728586172</v>
      </c>
    </row>
    <row r="142" spans="1:14" x14ac:dyDescent="0.3">
      <c r="A142" s="118">
        <v>45721</v>
      </c>
      <c r="B142" s="138" t="s">
        <v>351</v>
      </c>
      <c r="C142" s="95" t="s">
        <v>352</v>
      </c>
      <c r="G142" s="46">
        <f t="shared" si="7"/>
        <v>-17685.426728586172</v>
      </c>
    </row>
    <row r="143" spans="1:14" x14ac:dyDescent="0.3">
      <c r="A143" s="118">
        <v>45722</v>
      </c>
      <c r="B143" s="137" t="s">
        <v>348</v>
      </c>
      <c r="C143" s="121" t="s">
        <v>371</v>
      </c>
      <c r="G143" s="46">
        <f t="shared" si="7"/>
        <v>-17685.426728586172</v>
      </c>
    </row>
    <row r="144" spans="1:14" x14ac:dyDescent="0.3">
      <c r="A144" s="118">
        <v>45733</v>
      </c>
      <c r="B144" s="138" t="s">
        <v>353</v>
      </c>
      <c r="C144" s="95" t="s">
        <v>354</v>
      </c>
      <c r="G144" s="46">
        <f t="shared" si="7"/>
        <v>-17685.426728586172</v>
      </c>
    </row>
    <row r="145" spans="1:9" ht="15" thickBot="1" x14ac:dyDescent="0.35">
      <c r="A145" s="118">
        <v>45735</v>
      </c>
      <c r="B145" s="139" t="s">
        <v>349</v>
      </c>
      <c r="C145" s="109" t="s">
        <v>385</v>
      </c>
      <c r="G145" s="46">
        <f t="shared" si="7"/>
        <v>-17685.426728586172</v>
      </c>
    </row>
    <row r="146" spans="1:9" x14ac:dyDescent="0.3">
      <c r="A146" s="1">
        <v>45735</v>
      </c>
      <c r="B146" s="123" t="s">
        <v>349</v>
      </c>
      <c r="C146" s="100" t="s">
        <v>386</v>
      </c>
      <c r="G146" s="46">
        <f t="shared" si="7"/>
        <v>-17685.426728586172</v>
      </c>
      <c r="H146">
        <v>614</v>
      </c>
      <c r="I146" s="39">
        <f>L145+H146</f>
        <v>614</v>
      </c>
    </row>
    <row r="147" spans="1:9" x14ac:dyDescent="0.3">
      <c r="A147" s="1">
        <v>45735</v>
      </c>
      <c r="B147" s="123" t="s">
        <v>349</v>
      </c>
      <c r="C147" s="89" t="s">
        <v>350</v>
      </c>
      <c r="E147" s="64" t="s">
        <v>380</v>
      </c>
      <c r="F147" s="43">
        <f>-340/10*18</f>
        <v>-612</v>
      </c>
      <c r="G147" s="46">
        <f t="shared" si="7"/>
        <v>-18297.426728586172</v>
      </c>
      <c r="H147"/>
      <c r="I147" s="39">
        <f>I146+H147</f>
        <v>614</v>
      </c>
    </row>
    <row r="148" spans="1:9" ht="15" thickBot="1" x14ac:dyDescent="0.35">
      <c r="A148" s="1">
        <v>45747</v>
      </c>
      <c r="B148" s="123" t="s">
        <v>355</v>
      </c>
      <c r="C148" s="89" t="s">
        <v>356</v>
      </c>
      <c r="E148" s="64" t="s">
        <v>373</v>
      </c>
      <c r="F148" s="78">
        <f>-305/12*25</f>
        <v>-635.41666666666674</v>
      </c>
      <c r="G148" s="46">
        <f t="shared" si="7"/>
        <v>-18932.843395252839</v>
      </c>
      <c r="H148"/>
      <c r="I148" s="39">
        <f>I147+H148</f>
        <v>614</v>
      </c>
    </row>
    <row r="149" spans="1:9" x14ac:dyDescent="0.3">
      <c r="A149" s="118">
        <v>45751</v>
      </c>
      <c r="B149" s="140" t="s">
        <v>358</v>
      </c>
      <c r="C149" s="97" t="s">
        <v>357</v>
      </c>
      <c r="G149" s="46">
        <f t="shared" si="7"/>
        <v>-18932.843395252839</v>
      </c>
      <c r="H149"/>
      <c r="I149" s="39">
        <f>I148+H149</f>
        <v>614</v>
      </c>
    </row>
    <row r="150" spans="1:9" ht="15" thickBot="1" x14ac:dyDescent="0.35">
      <c r="A150" s="122">
        <v>45748</v>
      </c>
      <c r="B150" s="119" t="s">
        <v>359</v>
      </c>
      <c r="C150" s="120" t="s">
        <v>360</v>
      </c>
      <c r="G150" s="46">
        <f t="shared" si="7"/>
        <v>-18932.843395252839</v>
      </c>
    </row>
    <row r="151" spans="1:9" ht="15" customHeight="1" x14ac:dyDescent="0.3">
      <c r="A151" s="34">
        <v>45772</v>
      </c>
      <c r="B151" s="124" t="s">
        <v>362</v>
      </c>
      <c r="C151" s="91" t="s">
        <v>369</v>
      </c>
      <c r="D151" s="153"/>
      <c r="E151" s="43"/>
      <c r="G151" s="46">
        <f t="shared" si="7"/>
        <v>-18932.843395252839</v>
      </c>
    </row>
    <row r="152" spans="1:9" ht="15" customHeight="1" x14ac:dyDescent="0.3">
      <c r="A152" s="37">
        <v>45772</v>
      </c>
      <c r="B152" s="127" t="s">
        <v>361</v>
      </c>
      <c r="C152" s="92" t="s">
        <v>364</v>
      </c>
      <c r="D152" s="154" t="s">
        <v>363</v>
      </c>
      <c r="E152" s="43"/>
      <c r="G152" s="46">
        <f t="shared" si="7"/>
        <v>-18932.843395252839</v>
      </c>
    </row>
    <row r="153" spans="1:9" x14ac:dyDescent="0.3">
      <c r="A153" s="37">
        <v>45772</v>
      </c>
      <c r="B153" s="127" t="s">
        <v>361</v>
      </c>
      <c r="C153" s="92" t="s">
        <v>365</v>
      </c>
      <c r="D153" s="154" t="s">
        <v>363</v>
      </c>
      <c r="E153" s="43"/>
      <c r="G153" s="46">
        <f t="shared" si="7"/>
        <v>-18932.843395252839</v>
      </c>
    </row>
    <row r="154" spans="1:9" x14ac:dyDescent="0.3">
      <c r="A154" s="37">
        <v>45772</v>
      </c>
      <c r="B154" s="127" t="s">
        <v>361</v>
      </c>
      <c r="C154" s="92" t="s">
        <v>366</v>
      </c>
      <c r="D154" s="154" t="s">
        <v>363</v>
      </c>
      <c r="E154" s="43"/>
      <c r="G154" s="46">
        <f t="shared" si="7"/>
        <v>-18932.843395252839</v>
      </c>
    </row>
    <row r="155" spans="1:9" ht="15" thickBot="1" x14ac:dyDescent="0.35">
      <c r="A155" s="35">
        <v>45775</v>
      </c>
      <c r="B155" s="128" t="s">
        <v>367</v>
      </c>
      <c r="C155" s="102" t="s">
        <v>368</v>
      </c>
      <c r="D155" s="155"/>
      <c r="E155" s="43"/>
      <c r="G155" s="46">
        <f t="shared" si="7"/>
        <v>-18932.843395252839</v>
      </c>
    </row>
    <row r="156" spans="1:9" x14ac:dyDescent="0.3">
      <c r="A156" s="118">
        <v>45799</v>
      </c>
      <c r="B156" s="127" t="s">
        <v>374</v>
      </c>
      <c r="C156" s="93" t="s">
        <v>378</v>
      </c>
      <c r="G156" s="46">
        <f t="shared" si="7"/>
        <v>-18932.843395252839</v>
      </c>
    </row>
    <row r="157" spans="1:9" x14ac:dyDescent="0.3">
      <c r="A157" s="118">
        <v>45797</v>
      </c>
      <c r="B157" s="126" t="s">
        <v>375</v>
      </c>
      <c r="C157" s="92" t="s">
        <v>376</v>
      </c>
      <c r="D157" s="156"/>
      <c r="E157"/>
      <c r="G157" s="46">
        <f t="shared" si="7"/>
        <v>-18932.843395252839</v>
      </c>
    </row>
    <row r="158" spans="1:9" ht="15" thickBot="1" x14ac:dyDescent="0.35">
      <c r="A158" s="118">
        <v>45797</v>
      </c>
      <c r="B158" s="126" t="s">
        <v>375</v>
      </c>
      <c r="C158" s="92" t="s">
        <v>379</v>
      </c>
      <c r="G158" s="46">
        <f t="shared" si="7"/>
        <v>-18932.843395252839</v>
      </c>
    </row>
    <row r="159" spans="1:9" x14ac:dyDescent="0.3">
      <c r="A159" s="34">
        <v>45820</v>
      </c>
      <c r="B159" s="124" t="s">
        <v>377</v>
      </c>
      <c r="C159" s="97" t="s">
        <v>384</v>
      </c>
      <c r="G159" s="46">
        <f t="shared" si="7"/>
        <v>-18932.843395252839</v>
      </c>
    </row>
    <row r="160" spans="1:9" x14ac:dyDescent="0.3">
      <c r="A160" s="37">
        <v>45855</v>
      </c>
      <c r="B160" s="126" t="s">
        <v>381</v>
      </c>
      <c r="C160" s="95" t="s">
        <v>382</v>
      </c>
      <c r="G160" s="46">
        <f t="shared" si="7"/>
        <v>-18932.843395252839</v>
      </c>
    </row>
    <row r="161" spans="1:7" ht="15" thickBot="1" x14ac:dyDescent="0.35">
      <c r="A161" s="35">
        <v>45855</v>
      </c>
      <c r="B161" s="134" t="s">
        <v>381</v>
      </c>
      <c r="C161" s="96" t="s">
        <v>383</v>
      </c>
      <c r="G161" s="46">
        <f t="shared" si="7"/>
        <v>-18932.843395252839</v>
      </c>
    </row>
    <row r="162" spans="1:7" x14ac:dyDescent="0.3">
      <c r="A162" s="1">
        <v>46065</v>
      </c>
      <c r="B162" s="123" t="s">
        <v>387</v>
      </c>
      <c r="C162" s="100" t="s">
        <v>388</v>
      </c>
      <c r="F162" s="43">
        <v>13283</v>
      </c>
      <c r="G162" s="46">
        <f t="shared" si="7"/>
        <v>-5649.8433952528394</v>
      </c>
    </row>
    <row r="163" spans="1:7" x14ac:dyDescent="0.3">
      <c r="A163" s="1">
        <v>46083</v>
      </c>
      <c r="B163" s="132" t="s">
        <v>389</v>
      </c>
      <c r="C163" s="89" t="s">
        <v>390</v>
      </c>
      <c r="F163" s="43">
        <v>-1650</v>
      </c>
      <c r="G163" s="46">
        <f t="shared" si="7"/>
        <v>-7299.8433952528394</v>
      </c>
    </row>
    <row r="164" spans="1:7" x14ac:dyDescent="0.3">
      <c r="A164" s="1">
        <v>46107</v>
      </c>
      <c r="B164" s="132" t="s">
        <v>391</v>
      </c>
      <c r="C164" s="89" t="s">
        <v>396</v>
      </c>
      <c r="F164" s="43">
        <v>-1600</v>
      </c>
      <c r="G164" s="46">
        <f t="shared" si="7"/>
        <v>-8899.8433952528394</v>
      </c>
    </row>
    <row r="165" spans="1:7" x14ac:dyDescent="0.3">
      <c r="A165" s="1">
        <v>46119</v>
      </c>
      <c r="B165" s="123" t="s">
        <v>392</v>
      </c>
      <c r="C165" s="100" t="s">
        <v>393</v>
      </c>
      <c r="F165" s="43">
        <v>5382</v>
      </c>
      <c r="G165" s="46">
        <f t="shared" si="7"/>
        <v>-3517.8433952528394</v>
      </c>
    </row>
    <row r="166" spans="1:7" x14ac:dyDescent="0.3">
      <c r="A166" s="1">
        <v>46119</v>
      </c>
      <c r="B166" s="132" t="s">
        <v>394</v>
      </c>
      <c r="C166" s="89" t="s">
        <v>395</v>
      </c>
      <c r="F166" s="43">
        <v>-2047</v>
      </c>
      <c r="G166" s="46">
        <f t="shared" si="7"/>
        <v>-5564.8433952528394</v>
      </c>
    </row>
    <row r="167" spans="1:7" x14ac:dyDescent="0.3">
      <c r="A167" s="1">
        <v>46129</v>
      </c>
      <c r="B167" s="132" t="s">
        <v>397</v>
      </c>
      <c r="C167" s="89" t="s">
        <v>398</v>
      </c>
      <c r="G167" s="46">
        <f t="shared" si="7"/>
        <v>-5564.8433952528394</v>
      </c>
    </row>
    <row r="168" spans="1:7" x14ac:dyDescent="0.3">
      <c r="A168" s="1">
        <v>46127</v>
      </c>
      <c r="B168" s="132" t="s">
        <v>399</v>
      </c>
      <c r="C168" s="89" t="s">
        <v>400</v>
      </c>
      <c r="G168" s="46">
        <f t="shared" si="7"/>
        <v>-5564.8433952528394</v>
      </c>
    </row>
    <row r="169" spans="1:7" x14ac:dyDescent="0.3">
      <c r="G169" s="46">
        <f t="shared" si="7"/>
        <v>-5564.8433952528394</v>
      </c>
    </row>
    <row r="170" spans="1:7" x14ac:dyDescent="0.3">
      <c r="A170" s="1">
        <v>46133</v>
      </c>
      <c r="C170" s="101" t="s">
        <v>401</v>
      </c>
    </row>
    <row r="171" spans="1:7" x14ac:dyDescent="0.3">
      <c r="A171" s="1">
        <v>46140</v>
      </c>
      <c r="C171" s="101" t="s">
        <v>401</v>
      </c>
    </row>
    <row r="172" spans="1:7" x14ac:dyDescent="0.3">
      <c r="A172" s="1">
        <v>46147</v>
      </c>
      <c r="C172" s="101" t="s">
        <v>401</v>
      </c>
    </row>
    <row r="173" spans="1:7" x14ac:dyDescent="0.3">
      <c r="A173" s="1">
        <v>46154</v>
      </c>
      <c r="C173" s="101" t="s">
        <v>401</v>
      </c>
    </row>
    <row r="174" spans="1:7" x14ac:dyDescent="0.3">
      <c r="A174" s="1">
        <v>46155</v>
      </c>
      <c r="B174" s="123" t="s">
        <v>402</v>
      </c>
      <c r="C174" s="100" t="s">
        <v>403</v>
      </c>
    </row>
    <row r="175" spans="1:7" x14ac:dyDescent="0.3">
      <c r="A175" s="1">
        <v>46171</v>
      </c>
      <c r="B175" s="123" t="s">
        <v>404</v>
      </c>
      <c r="C175" s="100" t="s">
        <v>405</v>
      </c>
    </row>
  </sheetData>
  <mergeCells count="11">
    <mergeCell ref="G28:G30"/>
    <mergeCell ref="E28:E30"/>
    <mergeCell ref="H28:H30"/>
    <mergeCell ref="F28:F30"/>
    <mergeCell ref="E23:H23"/>
    <mergeCell ref="M23:N23"/>
    <mergeCell ref="A1:A2"/>
    <mergeCell ref="B1:B2"/>
    <mergeCell ref="C1:H1"/>
    <mergeCell ref="H21:K21"/>
    <mergeCell ref="I23:L23"/>
  </mergeCells>
  <pageMargins left="0.25" right="0.25" top="0.75" bottom="0.75" header="0.3" footer="0.3"/>
  <pageSetup paperSize="9" scale="1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topLeftCell="A12" workbookViewId="0">
      <selection activeCell="N27" sqref="N27"/>
    </sheetView>
  </sheetViews>
  <sheetFormatPr baseColWidth="10" defaultRowHeight="14.4" x14ac:dyDescent="0.3"/>
  <sheetData>
    <row r="1" spans="1:11" ht="15.6" x14ac:dyDescent="0.3">
      <c r="A1" s="179" t="s">
        <v>27</v>
      </c>
      <c r="B1" s="180"/>
      <c r="C1" s="180"/>
      <c r="D1" s="180"/>
      <c r="E1" s="180"/>
      <c r="F1" s="180"/>
      <c r="G1" s="180"/>
      <c r="H1" s="180"/>
      <c r="I1" s="180"/>
      <c r="J1" s="180"/>
      <c r="K1" s="181"/>
    </row>
    <row r="2" spans="1:11" x14ac:dyDescent="0.3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</row>
    <row r="3" spans="1:11" x14ac:dyDescent="0.3">
      <c r="A3" s="5">
        <v>1</v>
      </c>
      <c r="B3" s="6">
        <v>13006</v>
      </c>
      <c r="C3" s="6">
        <v>290769</v>
      </c>
      <c r="D3" s="6">
        <v>323</v>
      </c>
      <c r="E3" s="7">
        <v>16</v>
      </c>
      <c r="F3" s="7">
        <f>D3-E3</f>
        <v>307</v>
      </c>
      <c r="G3" s="6">
        <v>60</v>
      </c>
      <c r="H3" s="6">
        <v>17.600000000000001</v>
      </c>
      <c r="I3" s="177"/>
      <c r="J3" s="178">
        <v>3.8</v>
      </c>
      <c r="K3" s="8" t="s">
        <v>39</v>
      </c>
    </row>
    <row r="4" spans="1:11" x14ac:dyDescent="0.3">
      <c r="A4" s="5">
        <v>2</v>
      </c>
      <c r="B4" s="6">
        <v>13006</v>
      </c>
      <c r="C4" s="6">
        <v>290770</v>
      </c>
      <c r="D4" s="6">
        <v>316</v>
      </c>
      <c r="E4" s="7">
        <v>17</v>
      </c>
      <c r="F4" s="7">
        <f>D4-E4</f>
        <v>299</v>
      </c>
      <c r="G4" s="6">
        <v>60</v>
      </c>
      <c r="H4" s="6">
        <v>18.100000000000001</v>
      </c>
      <c r="I4" s="177"/>
      <c r="J4" s="178"/>
      <c r="K4" s="8" t="s">
        <v>40</v>
      </c>
    </row>
    <row r="5" spans="1:11" x14ac:dyDescent="0.3">
      <c r="A5" s="5">
        <v>3</v>
      </c>
      <c r="B5" s="6">
        <v>13006</v>
      </c>
      <c r="C5" s="6">
        <v>290771</v>
      </c>
      <c r="D5" s="6">
        <v>307</v>
      </c>
      <c r="E5" s="7">
        <v>17</v>
      </c>
      <c r="F5" s="7">
        <f t="shared" ref="F5:F22" si="0">D5-E5</f>
        <v>290</v>
      </c>
      <c r="G5" s="6">
        <v>48</v>
      </c>
      <c r="H5" s="6">
        <v>17.600000000000001</v>
      </c>
      <c r="I5" s="177"/>
      <c r="J5" s="178"/>
      <c r="K5" s="8" t="s">
        <v>41</v>
      </c>
    </row>
    <row r="6" spans="1:11" x14ac:dyDescent="0.3">
      <c r="A6" s="5">
        <v>4</v>
      </c>
      <c r="B6" s="6">
        <v>13006</v>
      </c>
      <c r="C6" s="6">
        <v>290772</v>
      </c>
      <c r="D6" s="6">
        <v>316</v>
      </c>
      <c r="E6" s="7">
        <v>17</v>
      </c>
      <c r="F6" s="7">
        <f t="shared" si="0"/>
        <v>299</v>
      </c>
      <c r="G6" s="6">
        <v>48</v>
      </c>
      <c r="H6" s="6">
        <v>18.100000000000001</v>
      </c>
      <c r="I6" s="177"/>
      <c r="J6" s="178"/>
      <c r="K6" s="8" t="s">
        <v>42</v>
      </c>
    </row>
    <row r="7" spans="1:11" x14ac:dyDescent="0.3">
      <c r="A7" s="5">
        <v>5</v>
      </c>
      <c r="B7" s="6">
        <v>13006</v>
      </c>
      <c r="C7" s="6">
        <v>290773</v>
      </c>
      <c r="D7" s="6">
        <v>320</v>
      </c>
      <c r="E7" s="7">
        <v>16.5</v>
      </c>
      <c r="F7" s="7">
        <f t="shared" si="0"/>
        <v>303.5</v>
      </c>
      <c r="G7" s="6">
        <v>60</v>
      </c>
      <c r="H7" s="6">
        <v>18.100000000000001</v>
      </c>
      <c r="I7" s="177"/>
      <c r="J7" s="178"/>
      <c r="K7" s="8" t="s">
        <v>43</v>
      </c>
    </row>
    <row r="8" spans="1:11" x14ac:dyDescent="0.3">
      <c r="A8" s="5">
        <v>6</v>
      </c>
      <c r="B8" s="6">
        <v>13006</v>
      </c>
      <c r="C8" s="6">
        <v>290774</v>
      </c>
      <c r="D8" s="6">
        <v>317</v>
      </c>
      <c r="E8" s="7">
        <v>15</v>
      </c>
      <c r="F8" s="7">
        <f t="shared" si="0"/>
        <v>302</v>
      </c>
      <c r="G8" s="6">
        <v>60</v>
      </c>
      <c r="H8" s="6">
        <v>18.100000000000001</v>
      </c>
      <c r="I8" s="177"/>
      <c r="J8" s="178"/>
      <c r="K8" s="8" t="s">
        <v>44</v>
      </c>
    </row>
    <row r="9" spans="1:11" x14ac:dyDescent="0.3">
      <c r="A9" s="5">
        <v>7</v>
      </c>
      <c r="B9" s="6">
        <v>13006</v>
      </c>
      <c r="C9" s="6">
        <v>290775</v>
      </c>
      <c r="D9" s="6">
        <v>316</v>
      </c>
      <c r="E9" s="7">
        <v>17</v>
      </c>
      <c r="F9" s="7">
        <f t="shared" si="0"/>
        <v>299</v>
      </c>
      <c r="G9" s="6">
        <v>48</v>
      </c>
      <c r="H9" s="6">
        <v>17.600000000000001</v>
      </c>
      <c r="I9" s="177"/>
      <c r="J9" s="178"/>
      <c r="K9" s="8" t="s">
        <v>45</v>
      </c>
    </row>
    <row r="10" spans="1:11" x14ac:dyDescent="0.3">
      <c r="A10" s="5">
        <v>8</v>
      </c>
      <c r="B10" s="6">
        <v>13006</v>
      </c>
      <c r="C10" s="6">
        <v>290776</v>
      </c>
      <c r="D10" s="6">
        <v>319</v>
      </c>
      <c r="E10" s="7">
        <v>17</v>
      </c>
      <c r="F10" s="7">
        <f t="shared" si="0"/>
        <v>302</v>
      </c>
      <c r="G10" s="6">
        <v>48</v>
      </c>
      <c r="H10" s="6">
        <v>17.600000000000001</v>
      </c>
      <c r="I10" s="177"/>
      <c r="J10" s="178"/>
      <c r="K10" s="8" t="s">
        <v>46</v>
      </c>
    </row>
    <row r="11" spans="1:11" x14ac:dyDescent="0.3">
      <c r="A11" s="5">
        <v>9</v>
      </c>
      <c r="B11" s="6">
        <v>13006</v>
      </c>
      <c r="C11" s="6">
        <v>290777</v>
      </c>
      <c r="D11" s="6">
        <v>316</v>
      </c>
      <c r="E11" s="7">
        <v>17</v>
      </c>
      <c r="F11" s="7">
        <f t="shared" si="0"/>
        <v>299</v>
      </c>
      <c r="G11" s="6">
        <v>48</v>
      </c>
      <c r="H11" s="6">
        <v>17.600000000000001</v>
      </c>
      <c r="I11" s="177"/>
      <c r="J11" s="178"/>
      <c r="K11" s="8" t="s">
        <v>47</v>
      </c>
    </row>
    <row r="12" spans="1:11" x14ac:dyDescent="0.3">
      <c r="A12" s="5">
        <v>10</v>
      </c>
      <c r="B12" s="6">
        <v>13006</v>
      </c>
      <c r="C12" s="6">
        <v>290778</v>
      </c>
      <c r="D12" s="6">
        <v>317</v>
      </c>
      <c r="E12" s="7">
        <v>17</v>
      </c>
      <c r="F12" s="7">
        <f t="shared" si="0"/>
        <v>300</v>
      </c>
      <c r="G12" s="6">
        <v>48</v>
      </c>
      <c r="H12" s="6">
        <v>17.600000000000001</v>
      </c>
      <c r="I12" s="177"/>
      <c r="J12" s="178"/>
      <c r="K12" s="8" t="s">
        <v>48</v>
      </c>
    </row>
    <row r="13" spans="1:11" x14ac:dyDescent="0.3">
      <c r="A13" s="5">
        <v>11</v>
      </c>
      <c r="B13" s="6">
        <v>13007</v>
      </c>
      <c r="C13" s="6">
        <v>290779</v>
      </c>
      <c r="D13" s="6">
        <v>315</v>
      </c>
      <c r="E13" s="7">
        <v>17</v>
      </c>
      <c r="F13" s="7">
        <f t="shared" si="0"/>
        <v>298</v>
      </c>
      <c r="G13" s="6">
        <v>48</v>
      </c>
      <c r="H13" s="6">
        <v>18.100000000000001</v>
      </c>
      <c r="I13" s="182"/>
      <c r="J13" s="185">
        <v>3</v>
      </c>
      <c r="K13" s="8" t="s">
        <v>49</v>
      </c>
    </row>
    <row r="14" spans="1:11" x14ac:dyDescent="0.3">
      <c r="A14" s="5">
        <v>12</v>
      </c>
      <c r="B14" s="6">
        <v>13007</v>
      </c>
      <c r="C14" s="6">
        <v>290780</v>
      </c>
      <c r="D14" s="6">
        <v>317</v>
      </c>
      <c r="E14" s="7">
        <v>17</v>
      </c>
      <c r="F14" s="7">
        <f t="shared" si="0"/>
        <v>300</v>
      </c>
      <c r="G14" s="6">
        <v>48</v>
      </c>
      <c r="H14" s="6">
        <v>18.100000000000001</v>
      </c>
      <c r="I14" s="183"/>
      <c r="J14" s="186"/>
      <c r="K14" s="8" t="s">
        <v>50</v>
      </c>
    </row>
    <row r="15" spans="1:11" x14ac:dyDescent="0.3">
      <c r="A15" s="5">
        <v>13</v>
      </c>
      <c r="B15" s="6">
        <v>13007</v>
      </c>
      <c r="C15" s="6">
        <v>290781</v>
      </c>
      <c r="D15" s="6">
        <v>318</v>
      </c>
      <c r="E15" s="7">
        <v>17</v>
      </c>
      <c r="F15" s="7">
        <f t="shared" si="0"/>
        <v>301</v>
      </c>
      <c r="G15" s="6">
        <v>48</v>
      </c>
      <c r="H15" s="6">
        <v>18.100000000000001</v>
      </c>
      <c r="I15" s="183"/>
      <c r="J15" s="186"/>
      <c r="K15" s="8" t="s">
        <v>51</v>
      </c>
    </row>
    <row r="16" spans="1:11" x14ac:dyDescent="0.3">
      <c r="A16" s="5">
        <v>14</v>
      </c>
      <c r="B16" s="6">
        <v>13007</v>
      </c>
      <c r="C16" s="6">
        <v>290782</v>
      </c>
      <c r="D16" s="6">
        <v>320</v>
      </c>
      <c r="E16" s="7">
        <v>16</v>
      </c>
      <c r="F16" s="7">
        <f t="shared" si="0"/>
        <v>304</v>
      </c>
      <c r="G16" s="6">
        <v>48</v>
      </c>
      <c r="H16" s="6">
        <v>18.100000000000001</v>
      </c>
      <c r="I16" s="183"/>
      <c r="J16" s="186"/>
      <c r="K16" s="8" t="s">
        <v>44</v>
      </c>
    </row>
    <row r="17" spans="1:11" x14ac:dyDescent="0.3">
      <c r="A17" s="5">
        <v>15</v>
      </c>
      <c r="B17" s="6">
        <v>13007</v>
      </c>
      <c r="C17" s="6">
        <v>290783</v>
      </c>
      <c r="D17" s="6">
        <v>315</v>
      </c>
      <c r="E17" s="7">
        <v>17</v>
      </c>
      <c r="F17" s="7">
        <f t="shared" si="0"/>
        <v>298</v>
      </c>
      <c r="G17" s="6">
        <v>50</v>
      </c>
      <c r="H17" s="6">
        <v>18.100000000000001</v>
      </c>
      <c r="I17" s="183"/>
      <c r="J17" s="186"/>
      <c r="K17" s="8" t="s">
        <v>52</v>
      </c>
    </row>
    <row r="18" spans="1:11" x14ac:dyDescent="0.3">
      <c r="A18" s="5">
        <v>16</v>
      </c>
      <c r="B18" s="6">
        <v>13007</v>
      </c>
      <c r="C18" s="6">
        <v>290784</v>
      </c>
      <c r="D18" s="6">
        <v>317</v>
      </c>
      <c r="E18" s="7">
        <v>17</v>
      </c>
      <c r="F18" s="7">
        <f t="shared" si="0"/>
        <v>300</v>
      </c>
      <c r="G18" s="6">
        <v>50</v>
      </c>
      <c r="H18" s="6">
        <v>18.100000000000001</v>
      </c>
      <c r="I18" s="183"/>
      <c r="J18" s="186"/>
      <c r="K18" s="8" t="s">
        <v>53</v>
      </c>
    </row>
    <row r="19" spans="1:11" x14ac:dyDescent="0.3">
      <c r="A19" s="5">
        <v>17</v>
      </c>
      <c r="B19" s="6">
        <v>13007</v>
      </c>
      <c r="C19" s="6">
        <v>290785</v>
      </c>
      <c r="D19" s="6">
        <v>316</v>
      </c>
      <c r="E19" s="7">
        <v>17</v>
      </c>
      <c r="F19" s="7">
        <f t="shared" si="0"/>
        <v>299</v>
      </c>
      <c r="G19" s="6">
        <v>50</v>
      </c>
      <c r="H19" s="6">
        <v>18.2</v>
      </c>
      <c r="I19" s="183"/>
      <c r="J19" s="186"/>
      <c r="K19" s="8" t="s">
        <v>54</v>
      </c>
    </row>
    <row r="20" spans="1:11" x14ac:dyDescent="0.3">
      <c r="A20" s="5">
        <v>18</v>
      </c>
      <c r="B20" s="6">
        <v>13007</v>
      </c>
      <c r="C20" s="6">
        <v>290786</v>
      </c>
      <c r="D20" s="6">
        <v>317</v>
      </c>
      <c r="E20" s="7">
        <v>17</v>
      </c>
      <c r="F20" s="7">
        <f t="shared" si="0"/>
        <v>300</v>
      </c>
      <c r="G20" s="6">
        <v>50</v>
      </c>
      <c r="H20" s="6">
        <v>18.2</v>
      </c>
      <c r="I20" s="183"/>
      <c r="J20" s="186"/>
      <c r="K20" s="8" t="s">
        <v>55</v>
      </c>
    </row>
    <row r="21" spans="1:11" x14ac:dyDescent="0.3">
      <c r="A21" s="5">
        <v>19</v>
      </c>
      <c r="B21" s="6">
        <v>13007</v>
      </c>
      <c r="C21" s="6">
        <v>290787</v>
      </c>
      <c r="D21" s="6">
        <v>321</v>
      </c>
      <c r="E21" s="7">
        <v>16</v>
      </c>
      <c r="F21" s="7">
        <f t="shared" si="0"/>
        <v>305</v>
      </c>
      <c r="G21" s="6">
        <v>60</v>
      </c>
      <c r="H21" s="6">
        <v>17.600000000000001</v>
      </c>
      <c r="I21" s="183"/>
      <c r="J21" s="186"/>
      <c r="K21" s="8" t="s">
        <v>56</v>
      </c>
    </row>
    <row r="22" spans="1:11" x14ac:dyDescent="0.3">
      <c r="A22" s="5">
        <v>20</v>
      </c>
      <c r="B22" s="6">
        <v>13007</v>
      </c>
      <c r="C22" s="6">
        <v>290788</v>
      </c>
      <c r="D22" s="6">
        <v>317</v>
      </c>
      <c r="E22" s="7">
        <v>17</v>
      </c>
      <c r="F22" s="7">
        <f t="shared" si="0"/>
        <v>300</v>
      </c>
      <c r="G22" s="6">
        <v>50</v>
      </c>
      <c r="H22" s="6">
        <v>17.600000000000001</v>
      </c>
      <c r="I22" s="184"/>
      <c r="J22" s="187"/>
      <c r="K22" s="8" t="s">
        <v>57</v>
      </c>
    </row>
    <row r="23" spans="1:11" x14ac:dyDescent="0.3">
      <c r="C23" s="4"/>
      <c r="D23" s="9">
        <f>SUM(D3:D22)</f>
        <v>6340</v>
      </c>
      <c r="E23" s="9">
        <f>SUM(E3:E22)</f>
        <v>334.5</v>
      </c>
      <c r="F23" s="9">
        <f>SUM(F3:F22)</f>
        <v>6005.5</v>
      </c>
      <c r="G23" s="4"/>
      <c r="H23" s="4"/>
      <c r="I23" s="4"/>
    </row>
    <row r="25" spans="1:11" ht="15.6" x14ac:dyDescent="0.3">
      <c r="A25" s="188" t="s">
        <v>58</v>
      </c>
      <c r="B25" s="188"/>
      <c r="C25" s="188"/>
      <c r="D25" s="188"/>
      <c r="E25" s="188"/>
      <c r="F25" s="188"/>
      <c r="G25" s="188"/>
      <c r="H25" s="188"/>
      <c r="I25" s="188"/>
      <c r="J25" s="188"/>
      <c r="K25" s="188"/>
    </row>
    <row r="26" spans="1:11" x14ac:dyDescent="0.3">
      <c r="A26" s="5" t="s">
        <v>28</v>
      </c>
      <c r="B26" s="5" t="s">
        <v>29</v>
      </c>
      <c r="C26" s="5" t="s">
        <v>30</v>
      </c>
      <c r="D26" s="5" t="s">
        <v>31</v>
      </c>
      <c r="E26" s="5" t="s">
        <v>32</v>
      </c>
      <c r="F26" s="5" t="s">
        <v>33</v>
      </c>
      <c r="G26" s="5" t="s">
        <v>34</v>
      </c>
      <c r="H26" s="5" t="s">
        <v>35</v>
      </c>
      <c r="I26" s="5" t="s">
        <v>36</v>
      </c>
      <c r="J26" s="5" t="s">
        <v>37</v>
      </c>
      <c r="K26" s="5" t="s">
        <v>38</v>
      </c>
    </row>
    <row r="27" spans="1:11" x14ac:dyDescent="0.3">
      <c r="A27" s="5">
        <v>1</v>
      </c>
      <c r="B27" s="6">
        <v>13067</v>
      </c>
      <c r="C27" s="6">
        <v>290790</v>
      </c>
      <c r="D27" s="6">
        <v>314</v>
      </c>
      <c r="E27" s="7">
        <v>17</v>
      </c>
      <c r="F27" s="7">
        <f>D27-E27</f>
        <v>297</v>
      </c>
      <c r="G27" s="6">
        <v>66</v>
      </c>
      <c r="H27" s="6">
        <v>19.899999999999999</v>
      </c>
      <c r="I27" s="177"/>
      <c r="J27" s="178">
        <v>2</v>
      </c>
      <c r="K27" s="8" t="s">
        <v>59</v>
      </c>
    </row>
    <row r="28" spans="1:11" x14ac:dyDescent="0.3">
      <c r="A28" s="5">
        <v>2</v>
      </c>
      <c r="B28" s="6">
        <v>13067</v>
      </c>
      <c r="C28" s="6">
        <v>290791</v>
      </c>
      <c r="D28" s="6">
        <v>307</v>
      </c>
      <c r="E28" s="7">
        <v>15</v>
      </c>
      <c r="F28" s="7">
        <f>D28-E28</f>
        <v>292</v>
      </c>
      <c r="G28" s="6">
        <v>66</v>
      </c>
      <c r="H28" s="6">
        <v>19.899999999999999</v>
      </c>
      <c r="I28" s="177"/>
      <c r="J28" s="178"/>
      <c r="K28" s="8" t="s">
        <v>44</v>
      </c>
    </row>
    <row r="29" spans="1:11" x14ac:dyDescent="0.3">
      <c r="A29" s="5">
        <v>3</v>
      </c>
      <c r="B29" s="6">
        <v>13067</v>
      </c>
      <c r="C29" s="6">
        <v>290792</v>
      </c>
      <c r="D29" s="6">
        <v>309</v>
      </c>
      <c r="E29" s="7">
        <v>17</v>
      </c>
      <c r="F29" s="7">
        <f>D29-E29</f>
        <v>292</v>
      </c>
      <c r="G29" s="6">
        <v>66</v>
      </c>
      <c r="H29" s="6">
        <v>19.899999999999999</v>
      </c>
      <c r="I29" s="177"/>
      <c r="J29" s="178"/>
      <c r="K29" s="8" t="s">
        <v>60</v>
      </c>
    </row>
    <row r="30" spans="1:11" x14ac:dyDescent="0.3">
      <c r="D30">
        <f>SUM(D27:D29)</f>
        <v>930</v>
      </c>
      <c r="E30" s="10">
        <f>SUM(E27:E29)</f>
        <v>49</v>
      </c>
      <c r="F30" s="10">
        <f>SUM(F27:F29)</f>
        <v>881</v>
      </c>
    </row>
    <row r="32" spans="1:11" x14ac:dyDescent="0.3">
      <c r="B32" s="2"/>
      <c r="C32" s="2" t="s">
        <v>10</v>
      </c>
    </row>
    <row r="33" spans="2:3" x14ac:dyDescent="0.3">
      <c r="B33" s="2"/>
      <c r="C33" s="2" t="s">
        <v>11</v>
      </c>
    </row>
    <row r="34" spans="2:3" x14ac:dyDescent="0.3">
      <c r="B34" s="2"/>
      <c r="C34" s="2" t="s">
        <v>12</v>
      </c>
    </row>
    <row r="35" spans="2:3" x14ac:dyDescent="0.3">
      <c r="B35" s="2"/>
      <c r="C35" s="2" t="s">
        <v>13</v>
      </c>
    </row>
    <row r="36" spans="2:3" x14ac:dyDescent="0.3">
      <c r="B36" s="2"/>
      <c r="C36" s="2" t="s">
        <v>14</v>
      </c>
    </row>
    <row r="37" spans="2:3" x14ac:dyDescent="0.3">
      <c r="B37" s="2"/>
      <c r="C37" s="2"/>
    </row>
    <row r="38" spans="2:3" x14ac:dyDescent="0.3">
      <c r="B38" s="2"/>
      <c r="C38" s="2" t="s">
        <v>15</v>
      </c>
    </row>
    <row r="39" spans="2:3" x14ac:dyDescent="0.3">
      <c r="B39" s="3">
        <v>43468</v>
      </c>
      <c r="C39" s="2" t="s">
        <v>16</v>
      </c>
    </row>
    <row r="40" spans="2:3" x14ac:dyDescent="0.3">
      <c r="B40" s="3">
        <v>43525</v>
      </c>
      <c r="C40" s="2" t="s">
        <v>17</v>
      </c>
    </row>
  </sheetData>
  <mergeCells count="8">
    <mergeCell ref="I27:I29"/>
    <mergeCell ref="J27:J29"/>
    <mergeCell ref="A1:K1"/>
    <mergeCell ref="I3:I12"/>
    <mergeCell ref="J3:J12"/>
    <mergeCell ref="I13:I22"/>
    <mergeCell ref="J13:J22"/>
    <mergeCell ref="A25:K25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workbookViewId="0">
      <selection activeCell="I4" sqref="I4:I14"/>
    </sheetView>
  </sheetViews>
  <sheetFormatPr baseColWidth="10" defaultRowHeight="14.4" x14ac:dyDescent="0.3"/>
  <cols>
    <col min="6" max="6" width="23.33203125" bestFit="1" customWidth="1"/>
  </cols>
  <sheetData>
    <row r="1" spans="1:15" x14ac:dyDescent="0.3">
      <c r="A1" s="4"/>
      <c r="B1" s="11" t="s">
        <v>61</v>
      </c>
      <c r="C1" s="4"/>
      <c r="D1" s="4"/>
      <c r="E1" s="4"/>
      <c r="F1" s="12" t="s">
        <v>62</v>
      </c>
      <c r="H1" t="s">
        <v>63</v>
      </c>
      <c r="J1" s="13"/>
      <c r="N1" s="4"/>
    </row>
    <row r="2" spans="1:15" ht="15" thickBot="1" x14ac:dyDescent="0.35">
      <c r="A2" s="4"/>
      <c r="B2" s="4"/>
      <c r="C2" s="4"/>
      <c r="D2" s="4"/>
      <c r="E2" s="13" t="s">
        <v>64</v>
      </c>
      <c r="F2" s="14"/>
      <c r="N2" s="4"/>
    </row>
    <row r="3" spans="1:15" ht="15.6" thickTop="1" thickBot="1" x14ac:dyDescent="0.35">
      <c r="A3" s="4" t="s">
        <v>65</v>
      </c>
      <c r="B3" s="15" t="s">
        <v>66</v>
      </c>
      <c r="C3" s="15" t="s">
        <v>67</v>
      </c>
      <c r="D3" s="15" t="s">
        <v>68</v>
      </c>
      <c r="E3" s="15" t="s">
        <v>69</v>
      </c>
      <c r="F3" s="16" t="s">
        <v>70</v>
      </c>
      <c r="G3" s="15" t="s">
        <v>71</v>
      </c>
      <c r="H3" s="15" t="s">
        <v>72</v>
      </c>
      <c r="I3" s="15" t="s">
        <v>73</v>
      </c>
      <c r="J3" s="15" t="s">
        <v>74</v>
      </c>
      <c r="K3" s="15" t="s">
        <v>75</v>
      </c>
      <c r="L3" s="15" t="s">
        <v>76</v>
      </c>
      <c r="M3" s="15" t="s">
        <v>37</v>
      </c>
      <c r="N3" s="15" t="s">
        <v>77</v>
      </c>
    </row>
    <row r="4" spans="1:15" ht="15" thickTop="1" x14ac:dyDescent="0.3">
      <c r="A4" s="4">
        <v>1</v>
      </c>
      <c r="B4" s="17">
        <v>10308</v>
      </c>
      <c r="C4" s="18" t="s">
        <v>78</v>
      </c>
      <c r="D4" s="17" t="s">
        <v>79</v>
      </c>
      <c r="E4" s="19">
        <v>306176</v>
      </c>
      <c r="F4" s="20">
        <v>205323599709</v>
      </c>
      <c r="G4" s="21">
        <v>316</v>
      </c>
      <c r="H4" s="21">
        <v>16</v>
      </c>
      <c r="I4" s="21">
        <v>300</v>
      </c>
      <c r="J4" s="21"/>
      <c r="K4" s="21">
        <v>44</v>
      </c>
      <c r="L4" s="22" t="s">
        <v>80</v>
      </c>
      <c r="M4" s="21"/>
      <c r="N4" s="17" t="s">
        <v>81</v>
      </c>
    </row>
    <row r="5" spans="1:15" x14ac:dyDescent="0.3">
      <c r="A5" s="4">
        <v>2</v>
      </c>
      <c r="B5" s="17">
        <v>10308</v>
      </c>
      <c r="C5" s="18" t="s">
        <v>78</v>
      </c>
      <c r="D5" s="17" t="s">
        <v>79</v>
      </c>
      <c r="E5" s="17">
        <v>306177</v>
      </c>
      <c r="F5" s="23">
        <v>205318881819</v>
      </c>
      <c r="G5" s="21">
        <v>316</v>
      </c>
      <c r="H5" s="21">
        <v>16</v>
      </c>
      <c r="I5" s="21">
        <v>300</v>
      </c>
      <c r="J5" s="21"/>
      <c r="K5" s="21">
        <v>44</v>
      </c>
      <c r="L5" s="22" t="s">
        <v>80</v>
      </c>
      <c r="M5" s="21"/>
      <c r="N5" s="17" t="s">
        <v>81</v>
      </c>
    </row>
    <row r="6" spans="1:15" x14ac:dyDescent="0.3">
      <c r="A6" s="4">
        <v>3</v>
      </c>
      <c r="B6" s="17">
        <v>10308</v>
      </c>
      <c r="C6" s="18" t="s">
        <v>78</v>
      </c>
      <c r="D6" s="17" t="s">
        <v>79</v>
      </c>
      <c r="E6" s="19">
        <v>306178</v>
      </c>
      <c r="F6" s="20">
        <v>205316550717</v>
      </c>
      <c r="G6" s="21">
        <v>320</v>
      </c>
      <c r="H6" s="21">
        <v>16</v>
      </c>
      <c r="I6" s="21">
        <v>304</v>
      </c>
      <c r="J6" s="21"/>
      <c r="K6" s="21">
        <v>49</v>
      </c>
      <c r="L6" s="22" t="s">
        <v>80</v>
      </c>
      <c r="M6" s="21"/>
      <c r="N6" s="17" t="s">
        <v>81</v>
      </c>
    </row>
    <row r="7" spans="1:15" x14ac:dyDescent="0.3">
      <c r="A7" s="4">
        <v>4</v>
      </c>
      <c r="B7" s="17">
        <v>10308</v>
      </c>
      <c r="C7" s="18" t="s">
        <v>78</v>
      </c>
      <c r="D7" s="17" t="s">
        <v>79</v>
      </c>
      <c r="E7" s="17">
        <v>306179</v>
      </c>
      <c r="F7" s="23">
        <v>205347160534</v>
      </c>
      <c r="G7" s="21">
        <v>312</v>
      </c>
      <c r="H7" s="21">
        <v>16</v>
      </c>
      <c r="I7" s="21">
        <v>296</v>
      </c>
      <c r="J7" s="21"/>
      <c r="K7" s="21">
        <v>35</v>
      </c>
      <c r="L7" s="22" t="s">
        <v>80</v>
      </c>
      <c r="M7" s="21"/>
      <c r="N7" s="17" t="s">
        <v>81</v>
      </c>
    </row>
    <row r="8" spans="1:15" x14ac:dyDescent="0.3">
      <c r="A8" s="4">
        <v>5</v>
      </c>
      <c r="B8" s="17">
        <v>10308</v>
      </c>
      <c r="C8" s="18" t="s">
        <v>78</v>
      </c>
      <c r="D8" s="17" t="s">
        <v>79</v>
      </c>
      <c r="E8" s="17">
        <v>306180</v>
      </c>
      <c r="F8" s="23">
        <v>205326055998</v>
      </c>
      <c r="G8" s="21">
        <v>311</v>
      </c>
      <c r="H8" s="21">
        <v>16</v>
      </c>
      <c r="I8" s="21">
        <v>295</v>
      </c>
      <c r="J8" s="21"/>
      <c r="K8" s="21">
        <v>44</v>
      </c>
      <c r="L8" s="22" t="s">
        <v>80</v>
      </c>
      <c r="M8" s="21"/>
      <c r="N8" s="17" t="s">
        <v>81</v>
      </c>
    </row>
    <row r="9" spans="1:15" x14ac:dyDescent="0.3">
      <c r="A9" s="4">
        <v>6</v>
      </c>
      <c r="B9" s="17">
        <v>10308</v>
      </c>
      <c r="C9" s="18" t="s">
        <v>78</v>
      </c>
      <c r="D9" s="17" t="s">
        <v>79</v>
      </c>
      <c r="E9" s="17">
        <v>306181</v>
      </c>
      <c r="F9" s="23">
        <v>205317026983</v>
      </c>
      <c r="G9" s="21">
        <v>308</v>
      </c>
      <c r="H9" s="21">
        <v>16</v>
      </c>
      <c r="I9" s="21">
        <v>292</v>
      </c>
      <c r="J9" s="21"/>
      <c r="K9" s="21">
        <v>51</v>
      </c>
      <c r="L9" s="22" t="s">
        <v>82</v>
      </c>
      <c r="M9" s="21"/>
      <c r="N9" s="17" t="s">
        <v>81</v>
      </c>
    </row>
    <row r="10" spans="1:15" x14ac:dyDescent="0.3">
      <c r="A10" s="4">
        <v>7</v>
      </c>
      <c r="B10" s="17">
        <v>10308</v>
      </c>
      <c r="C10" s="18" t="s">
        <v>78</v>
      </c>
      <c r="D10" s="17" t="s">
        <v>79</v>
      </c>
      <c r="E10" s="17">
        <v>306182</v>
      </c>
      <c r="F10" s="23">
        <v>205368050371</v>
      </c>
      <c r="G10" s="21">
        <v>309</v>
      </c>
      <c r="H10" s="21">
        <v>16</v>
      </c>
      <c r="I10" s="21">
        <v>293</v>
      </c>
      <c r="J10" s="21"/>
      <c r="K10" s="21">
        <v>44</v>
      </c>
      <c r="L10" s="22" t="s">
        <v>80</v>
      </c>
      <c r="M10" s="21"/>
      <c r="N10" s="17" t="s">
        <v>81</v>
      </c>
    </row>
    <row r="11" spans="1:15" x14ac:dyDescent="0.3">
      <c r="A11" s="4">
        <v>8</v>
      </c>
      <c r="B11" s="17">
        <v>10308</v>
      </c>
      <c r="C11" s="18" t="s">
        <v>78</v>
      </c>
      <c r="D11" s="17" t="s">
        <v>79</v>
      </c>
      <c r="E11" s="19">
        <v>306183</v>
      </c>
      <c r="F11" s="20">
        <v>134702085758</v>
      </c>
      <c r="G11" s="21">
        <v>312</v>
      </c>
      <c r="H11" s="21">
        <v>16.5</v>
      </c>
      <c r="I11" s="21">
        <v>295.5</v>
      </c>
      <c r="J11" s="21"/>
      <c r="K11" s="21">
        <v>44</v>
      </c>
      <c r="L11" s="22" t="s">
        <v>80</v>
      </c>
      <c r="M11" s="21"/>
      <c r="N11" s="17" t="s">
        <v>81</v>
      </c>
      <c r="O11" s="12" t="s">
        <v>83</v>
      </c>
    </row>
    <row r="12" spans="1:15" x14ac:dyDescent="0.3">
      <c r="A12" s="4">
        <v>9</v>
      </c>
      <c r="B12" s="17">
        <v>10308</v>
      </c>
      <c r="C12" s="18" t="s">
        <v>78</v>
      </c>
      <c r="D12" s="17" t="s">
        <v>79</v>
      </c>
      <c r="E12" s="17">
        <v>306184</v>
      </c>
      <c r="F12" s="23">
        <v>162940872342</v>
      </c>
      <c r="G12" s="21">
        <v>325</v>
      </c>
      <c r="H12" s="21">
        <v>16.5</v>
      </c>
      <c r="I12" s="21">
        <v>308.5</v>
      </c>
      <c r="J12" s="21"/>
      <c r="K12" s="24">
        <v>67</v>
      </c>
      <c r="L12" s="22" t="s">
        <v>84</v>
      </c>
      <c r="M12" s="21"/>
      <c r="N12" s="17" t="s">
        <v>81</v>
      </c>
    </row>
    <row r="13" spans="1:15" x14ac:dyDescent="0.3">
      <c r="A13" s="4">
        <v>10</v>
      </c>
      <c r="B13" s="25">
        <v>10308</v>
      </c>
      <c r="C13" s="26" t="s">
        <v>78</v>
      </c>
      <c r="D13" s="25" t="s">
        <v>79</v>
      </c>
      <c r="E13" s="27">
        <v>306185</v>
      </c>
      <c r="F13" s="28">
        <v>205302423322</v>
      </c>
      <c r="G13" s="29">
        <v>314</v>
      </c>
      <c r="H13" s="29">
        <v>16</v>
      </c>
      <c r="I13" s="29">
        <v>298</v>
      </c>
      <c r="J13" s="29"/>
      <c r="K13" s="29">
        <v>44</v>
      </c>
      <c r="L13" s="30" t="s">
        <v>82</v>
      </c>
      <c r="M13" s="29"/>
      <c r="N13" s="25" t="s">
        <v>81</v>
      </c>
    </row>
    <row r="14" spans="1:15" x14ac:dyDescent="0.3">
      <c r="I14">
        <f>SUM(I4:I13)</f>
        <v>2982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sqref="A1:F2"/>
    </sheetView>
  </sheetViews>
  <sheetFormatPr baseColWidth="10" defaultRowHeight="14.4" x14ac:dyDescent="0.3"/>
  <cols>
    <col min="1" max="1" width="16.33203125" customWidth="1"/>
    <col min="2" max="2" width="16.6640625" customWidth="1"/>
    <col min="3" max="3" width="12" bestFit="1" customWidth="1"/>
  </cols>
  <sheetData>
    <row r="1" spans="1:6" x14ac:dyDescent="0.3">
      <c r="A1" s="31" t="s">
        <v>67</v>
      </c>
      <c r="B1" s="31" t="s">
        <v>69</v>
      </c>
      <c r="C1" s="32" t="s">
        <v>70</v>
      </c>
      <c r="D1" s="31" t="s">
        <v>71</v>
      </c>
      <c r="E1" s="31" t="s">
        <v>72</v>
      </c>
      <c r="F1" s="31" t="s">
        <v>85</v>
      </c>
    </row>
    <row r="2" spans="1:6" x14ac:dyDescent="0.3">
      <c r="A2" t="s">
        <v>86</v>
      </c>
      <c r="B2">
        <v>258235</v>
      </c>
      <c r="C2" s="33">
        <v>20535353256</v>
      </c>
      <c r="D2">
        <v>316</v>
      </c>
      <c r="E2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N8"/>
  <sheetViews>
    <sheetView workbookViewId="0">
      <selection activeCell="I22" sqref="I22"/>
    </sheetView>
  </sheetViews>
  <sheetFormatPr baseColWidth="10" defaultRowHeight="14.4" x14ac:dyDescent="0.3"/>
  <cols>
    <col min="3" max="3" width="16" bestFit="1" customWidth="1"/>
  </cols>
  <sheetData>
    <row r="4" spans="1:14" x14ac:dyDescent="0.3">
      <c r="A4" s="49" t="s">
        <v>185</v>
      </c>
      <c r="B4" s="21">
        <v>12338</v>
      </c>
      <c r="C4" s="21" t="s">
        <v>186</v>
      </c>
      <c r="D4" s="50" t="s">
        <v>124</v>
      </c>
      <c r="E4" s="50">
        <v>338331</v>
      </c>
      <c r="F4" s="50" t="s">
        <v>187</v>
      </c>
      <c r="G4" s="50" t="s">
        <v>188</v>
      </c>
      <c r="H4" s="50" t="s">
        <v>189</v>
      </c>
      <c r="I4" s="51">
        <f>G4-H4</f>
        <v>288</v>
      </c>
      <c r="J4" s="50"/>
      <c r="K4" s="6">
        <v>38</v>
      </c>
      <c r="L4" s="6">
        <v>16</v>
      </c>
      <c r="M4" s="52" t="s">
        <v>190</v>
      </c>
      <c r="N4" s="50"/>
    </row>
    <row r="5" spans="1:14" x14ac:dyDescent="0.3">
      <c r="A5" s="49" t="s">
        <v>191</v>
      </c>
      <c r="B5" s="21">
        <v>12338</v>
      </c>
      <c r="C5" s="21" t="s">
        <v>186</v>
      </c>
      <c r="D5" s="50" t="s">
        <v>124</v>
      </c>
      <c r="E5" s="50">
        <v>338332</v>
      </c>
      <c r="F5" s="50" t="s">
        <v>192</v>
      </c>
      <c r="G5" s="50" t="s">
        <v>193</v>
      </c>
      <c r="H5" s="50" t="s">
        <v>194</v>
      </c>
      <c r="I5" s="51">
        <f>G5-H5</f>
        <v>290</v>
      </c>
      <c r="J5" s="50"/>
      <c r="K5" s="53">
        <v>34</v>
      </c>
      <c r="L5" s="6">
        <v>16</v>
      </c>
      <c r="M5" s="52" t="s">
        <v>190</v>
      </c>
      <c r="N5" s="50"/>
    </row>
    <row r="6" spans="1:14" x14ac:dyDescent="0.3">
      <c r="A6" s="49" t="s">
        <v>195</v>
      </c>
      <c r="B6" s="21">
        <v>12338</v>
      </c>
      <c r="C6" s="21" t="s">
        <v>186</v>
      </c>
      <c r="D6" s="50" t="s">
        <v>124</v>
      </c>
      <c r="E6" s="50">
        <v>338333</v>
      </c>
      <c r="F6" s="50" t="s">
        <v>196</v>
      </c>
      <c r="G6" s="50" t="s">
        <v>197</v>
      </c>
      <c r="H6" s="50" t="s">
        <v>189</v>
      </c>
      <c r="I6" s="51">
        <f>G6-H6</f>
        <v>293</v>
      </c>
      <c r="J6" s="50"/>
      <c r="K6" s="54">
        <v>55</v>
      </c>
      <c r="L6" s="6">
        <v>15.5</v>
      </c>
      <c r="M6" s="52" t="s">
        <v>190</v>
      </c>
      <c r="N6" s="50"/>
    </row>
    <row r="7" spans="1:14" x14ac:dyDescent="0.3">
      <c r="A7" s="49" t="s">
        <v>198</v>
      </c>
      <c r="B7" s="21">
        <v>12338</v>
      </c>
      <c r="C7" s="21" t="s">
        <v>186</v>
      </c>
      <c r="D7" s="50" t="s">
        <v>124</v>
      </c>
      <c r="E7" s="50">
        <v>338334</v>
      </c>
      <c r="F7" s="50" t="s">
        <v>199</v>
      </c>
      <c r="G7" s="50" t="s">
        <v>197</v>
      </c>
      <c r="H7" s="50" t="s">
        <v>189</v>
      </c>
      <c r="I7" s="51">
        <f>G7-H7</f>
        <v>293</v>
      </c>
      <c r="J7" s="50"/>
      <c r="K7" s="53">
        <v>28</v>
      </c>
      <c r="L7" s="6">
        <v>16</v>
      </c>
      <c r="M7" s="52" t="s">
        <v>190</v>
      </c>
      <c r="N7" s="50"/>
    </row>
    <row r="8" spans="1:14" x14ac:dyDescent="0.3">
      <c r="A8" s="49" t="s">
        <v>200</v>
      </c>
      <c r="B8" s="21">
        <v>12338</v>
      </c>
      <c r="C8" s="21" t="s">
        <v>186</v>
      </c>
      <c r="D8" s="50" t="s">
        <v>124</v>
      </c>
      <c r="E8" s="50">
        <v>338335</v>
      </c>
      <c r="F8" s="50" t="s">
        <v>201</v>
      </c>
      <c r="G8" s="50" t="s">
        <v>202</v>
      </c>
      <c r="H8" s="50" t="s">
        <v>194</v>
      </c>
      <c r="I8" s="51">
        <f>G8-H8</f>
        <v>299</v>
      </c>
      <c r="J8" s="50"/>
      <c r="K8" s="6">
        <v>32</v>
      </c>
      <c r="L8" s="6">
        <v>16</v>
      </c>
      <c r="M8" s="52" t="s">
        <v>190</v>
      </c>
      <c r="N8" s="5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3ee312-7c29-4ea5-acf3-ba9db7416539" xsi:nil="true"/>
    <lcf76f155ced4ddcb4097134ff3c332f xmlns="110602fa-4755-4e05-a6af-ea6a553ebb5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C3F430060B3E4482DC935E6C1C42B9" ma:contentTypeVersion="13" ma:contentTypeDescription="Crear nuevo documento." ma:contentTypeScope="" ma:versionID="c0a764ef90a8c6dc1d3bba660e0e07ef">
  <xsd:schema xmlns:xsd="http://www.w3.org/2001/XMLSchema" xmlns:xs="http://www.w3.org/2001/XMLSchema" xmlns:p="http://schemas.microsoft.com/office/2006/metadata/properties" xmlns:ns2="110602fa-4755-4e05-a6af-ea6a553ebb58" xmlns:ns3="ef3ee312-7c29-4ea5-acf3-ba9db7416539" targetNamespace="http://schemas.microsoft.com/office/2006/metadata/properties" ma:root="true" ma:fieldsID="e57982b8f67f3c4a922ee8fad58058b7" ns2:_="" ns3:_="">
    <xsd:import namespace="110602fa-4755-4e05-a6af-ea6a553ebb58"/>
    <xsd:import namespace="ef3ee312-7c29-4ea5-acf3-ba9db7416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602fa-4755-4e05-a6af-ea6a553eb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9a670df1-63d6-43f3-ae7b-ca8245b459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3ee312-7c29-4ea5-acf3-ba9db74165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c2643b-26f2-468d-bbc5-f13d8288823f}" ma:internalName="TaxCatchAll" ma:showField="CatchAllData" ma:web="ef3ee312-7c29-4ea5-acf3-ba9db7416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990B71-F70A-4E4B-90F6-959A2FB2EDEC}">
  <ds:schemaRefs>
    <ds:schemaRef ds:uri="http://schemas.openxmlformats.org/package/2006/metadata/core-properties"/>
    <ds:schemaRef ds:uri="110602fa-4755-4e05-a6af-ea6a553ebb58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ef3ee312-7c29-4ea5-acf3-ba9db7416539"/>
  </ds:schemaRefs>
</ds:datastoreItem>
</file>

<file path=customXml/itemProps2.xml><?xml version="1.0" encoding="utf-8"?>
<ds:datastoreItem xmlns:ds="http://schemas.openxmlformats.org/officeDocument/2006/customXml" ds:itemID="{FF6BE31E-4256-4E76-B47A-F07E4E8C06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602fa-4755-4e05-a6af-ea6a553ebb58"/>
    <ds:schemaRef ds:uri="ef3ee312-7c29-4ea5-acf3-ba9db74165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BAD925-772A-42FD-B1E0-E5E3D2E4E8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Ficha</vt:lpstr>
      <vt:lpstr>20 y 3 Tamb</vt:lpstr>
      <vt:lpstr>10 T</vt:lpstr>
      <vt:lpstr>1 T</vt:lpstr>
      <vt:lpstr>5T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2026-05-29T16:55:51Z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0x010100A9C3F430060B3E4482DC935E6C1C42B9</vt:lpwstr>
  </property>
  <property fmtid="{D5CDD505-2E9C-101B-9397-08002B2CF9AE}" pid="3" name="MediaServiceImageTags">
    <vt:lpwstr/>
  </property>
</Properties>
</file>